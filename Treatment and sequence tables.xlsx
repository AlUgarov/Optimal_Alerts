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duh\Documents\GitHub\Optimal_Alerts\"/>
    </mc:Choice>
  </mc:AlternateContent>
  <xr:revisionPtr revIDLastSave="0" documentId="13_ncr:1_{EA1E5067-687F-448F-9DE6-E81871E6D79A}" xr6:coauthVersionLast="47" xr6:coauthVersionMax="47" xr10:uidLastSave="{00000000-0000-0000-0000-000000000000}"/>
  <bookViews>
    <workbookView xWindow="15630" yWindow="7185" windowWidth="25440" windowHeight="15270" activeTab="3" xr2:uid="{43008ED9-FDE4-47F4-93EC-E60BD97CD81D}"/>
  </bookViews>
  <sheets>
    <sheet name="Old and new numbering" sheetId="2" r:id="rId1"/>
    <sheet name="New numbering" sheetId="3" r:id="rId2"/>
    <sheet name="Old Sequence" sheetId="4" r:id="rId3"/>
    <sheet name="Sequence with New Numberin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5" l="1"/>
  <c r="C18" i="5"/>
  <c r="D18" i="5"/>
  <c r="E18" i="5"/>
  <c r="F18" i="5"/>
  <c r="G18" i="5"/>
  <c r="B19" i="5"/>
  <c r="C19" i="5"/>
  <c r="D19" i="5"/>
  <c r="E19" i="5"/>
  <c r="F19" i="5"/>
  <c r="G19" i="5"/>
  <c r="B20" i="5"/>
  <c r="C20" i="5"/>
  <c r="D20" i="5"/>
  <c r="E20" i="5"/>
  <c r="F20" i="5"/>
  <c r="G20" i="5"/>
  <c r="B21" i="5"/>
  <c r="C21" i="5"/>
  <c r="D21" i="5"/>
  <c r="E21" i="5"/>
  <c r="F21" i="5"/>
  <c r="G21" i="5"/>
  <c r="B22" i="5"/>
  <c r="C22" i="5"/>
  <c r="D22" i="5"/>
  <c r="E22" i="5"/>
  <c r="F22" i="5"/>
  <c r="G22" i="5"/>
  <c r="B23" i="5"/>
  <c r="C23" i="5"/>
  <c r="D23" i="5"/>
  <c r="E23" i="5"/>
  <c r="F23" i="5"/>
  <c r="G23" i="5"/>
  <c r="B24" i="5"/>
  <c r="C24" i="5"/>
  <c r="D24" i="5"/>
  <c r="E24" i="5"/>
  <c r="F24" i="5"/>
  <c r="G24" i="5"/>
  <c r="B25" i="5"/>
  <c r="C25" i="5"/>
  <c r="D25" i="5"/>
  <c r="E25" i="5"/>
  <c r="F25" i="5"/>
  <c r="G25" i="5"/>
  <c r="G3" i="5"/>
  <c r="F3" i="5"/>
  <c r="E3" i="5"/>
  <c r="D3" i="5"/>
  <c r="C3" i="5"/>
  <c r="B3" i="5"/>
  <c r="G2" i="5"/>
  <c r="F2" i="5"/>
  <c r="E2" i="5"/>
  <c r="D2" i="5"/>
  <c r="C2" i="5"/>
  <c r="B2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6" i="5"/>
  <c r="F6" i="5"/>
  <c r="E6" i="5"/>
  <c r="D6" i="5"/>
  <c r="C6" i="5"/>
  <c r="B6" i="5"/>
  <c r="G5" i="5"/>
  <c r="F5" i="5"/>
  <c r="E5" i="5"/>
  <c r="D5" i="5"/>
  <c r="C5" i="5"/>
  <c r="B5" i="5"/>
  <c r="G4" i="5"/>
  <c r="F4" i="5"/>
  <c r="E4" i="5"/>
  <c r="D4" i="5"/>
  <c r="C4" i="5"/>
  <c r="B4" i="5"/>
</calcChain>
</file>

<file path=xl/sharedStrings.xml><?xml version="1.0" encoding="utf-8"?>
<sst xmlns="http://schemas.openxmlformats.org/spreadsheetml/2006/main" count="29" uniqueCount="16">
  <si>
    <t>Prior</t>
  </si>
  <si>
    <t>Gremlins (total)</t>
  </si>
  <si>
    <t>Black-eyed</t>
  </si>
  <si>
    <t>White-eyed</t>
  </si>
  <si>
    <t>No</t>
  </si>
  <si>
    <t>FP rate</t>
  </si>
  <si>
    <t>FN rate</t>
  </si>
  <si>
    <t>Old No</t>
  </si>
  <si>
    <t>New No</t>
  </si>
  <si>
    <t>Sequence N</t>
  </si>
  <si>
    <t>Round 1</t>
  </si>
  <si>
    <t>Round 2</t>
  </si>
  <si>
    <t>Round 3</t>
  </si>
  <si>
    <t>Round 4</t>
  </si>
  <si>
    <t>Round 5</t>
  </si>
  <si>
    <t>Round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</si>
</sst>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1" fillId="3" borderId="1" xfId="0" applyNumberFormat="1" applyFon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Fill="1" applyBorder="1" applyAlignment="1">
      <alignment horizontal="right" wrapText="1"/>
    </xf>
    <xf numFmtId="0" fontId="0" fillId="4" borderId="0" xfId="0" applyFont="1" applyFill="1"/>
    <xf numFmtId="0" fontId="1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AA83-0618-4CA0-A989-8AAF0AE75374}">
  <dimension ref="A1:H49"/>
  <sheetViews>
    <sheetView workbookViewId="0">
      <selection activeCell="A2" sqref="A2"/>
    </sheetView>
  </sheetViews>
  <sheetFormatPr defaultRowHeight="15" x14ac:dyDescent="0.25"/>
  <cols>
    <col min="6" max="7" width="9.5703125" bestFit="1" customWidth="1"/>
  </cols>
  <sheetData>
    <row r="1" spans="1:8" ht="27" thickBot="1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5" t="s">
        <v>8</v>
      </c>
    </row>
    <row r="2" spans="1:8" ht="15.75" thickBot="1" x14ac:dyDescent="0.3">
      <c r="A2" s="2">
        <v>1</v>
      </c>
      <c r="B2" s="2">
        <v>0.1</v>
      </c>
      <c r="C2" s="2">
        <v>2</v>
      </c>
      <c r="D2" s="2">
        <v>0</v>
      </c>
      <c r="E2" s="2">
        <v>0</v>
      </c>
      <c r="F2" s="7">
        <v>0</v>
      </c>
      <c r="G2" s="7">
        <v>0</v>
      </c>
      <c r="H2" s="6">
        <v>1</v>
      </c>
    </row>
    <row r="3" spans="1:8" ht="15.75" thickBot="1" x14ac:dyDescent="0.3">
      <c r="A3" s="2">
        <v>2</v>
      </c>
      <c r="B3" s="2">
        <v>0.1</v>
      </c>
      <c r="C3" s="2">
        <v>3</v>
      </c>
      <c r="D3" s="2">
        <v>1</v>
      </c>
      <c r="E3" s="2">
        <v>0</v>
      </c>
      <c r="F3" s="7">
        <v>0.33333333329999998</v>
      </c>
      <c r="G3" s="7">
        <v>0</v>
      </c>
      <c r="H3" s="6">
        <v>4</v>
      </c>
    </row>
    <row r="4" spans="1:8" ht="15.75" thickBot="1" x14ac:dyDescent="0.3">
      <c r="A4" s="2">
        <v>3</v>
      </c>
      <c r="B4" s="2">
        <v>0.1</v>
      </c>
      <c r="C4" s="2">
        <v>3</v>
      </c>
      <c r="D4" s="2">
        <v>0</v>
      </c>
      <c r="E4" s="2">
        <v>1</v>
      </c>
      <c r="F4" s="7">
        <v>0</v>
      </c>
      <c r="G4" s="7">
        <v>0.33333333329999998</v>
      </c>
      <c r="H4" s="6">
        <v>5</v>
      </c>
    </row>
    <row r="5" spans="1:8" ht="15.75" thickBot="1" x14ac:dyDescent="0.3">
      <c r="A5" s="2">
        <v>4</v>
      </c>
      <c r="B5" s="2">
        <v>0.1</v>
      </c>
      <c r="C5" s="2">
        <v>3</v>
      </c>
      <c r="D5" s="2">
        <v>1</v>
      </c>
      <c r="E5" s="2">
        <v>1</v>
      </c>
      <c r="F5" s="7">
        <v>0.33333333329999998</v>
      </c>
      <c r="G5" s="7">
        <v>0.33333333329999998</v>
      </c>
      <c r="H5" s="6">
        <v>6</v>
      </c>
    </row>
    <row r="6" spans="1:8" ht="15.75" thickBot="1" x14ac:dyDescent="0.3">
      <c r="A6" s="2">
        <v>5</v>
      </c>
      <c r="B6" s="2">
        <v>0.1</v>
      </c>
      <c r="C6" s="2">
        <v>5</v>
      </c>
      <c r="D6" s="2">
        <v>1</v>
      </c>
      <c r="E6" s="2">
        <v>0</v>
      </c>
      <c r="F6" s="7">
        <v>0.2</v>
      </c>
      <c r="G6" s="7">
        <v>0</v>
      </c>
      <c r="H6" s="6">
        <v>7</v>
      </c>
    </row>
    <row r="7" spans="1:8" ht="15.75" thickBot="1" x14ac:dyDescent="0.3">
      <c r="A7" s="2">
        <v>6</v>
      </c>
      <c r="B7" s="2">
        <v>0.1</v>
      </c>
      <c r="C7" s="2">
        <v>5</v>
      </c>
      <c r="D7" s="2">
        <v>0</v>
      </c>
      <c r="E7" s="2">
        <v>1</v>
      </c>
      <c r="F7" s="7">
        <v>0</v>
      </c>
      <c r="G7" s="7">
        <v>0.2</v>
      </c>
      <c r="H7" s="6">
        <v>8</v>
      </c>
    </row>
    <row r="8" spans="1:8" ht="15.75" thickBot="1" x14ac:dyDescent="0.3">
      <c r="A8" s="2">
        <v>7</v>
      </c>
      <c r="B8" s="2">
        <v>0.1</v>
      </c>
      <c r="C8" s="2">
        <v>5</v>
      </c>
      <c r="D8" s="2">
        <v>1</v>
      </c>
      <c r="E8" s="2">
        <v>1</v>
      </c>
      <c r="F8" s="7">
        <v>0.2</v>
      </c>
      <c r="G8" s="7">
        <v>0.2</v>
      </c>
      <c r="H8" s="6">
        <v>9</v>
      </c>
    </row>
    <row r="9" spans="1:8" ht="15.75" thickBot="1" x14ac:dyDescent="0.3">
      <c r="A9" s="2">
        <v>8</v>
      </c>
      <c r="B9" s="2">
        <v>0.2</v>
      </c>
      <c r="C9" s="2">
        <v>2</v>
      </c>
      <c r="D9" s="2">
        <v>0</v>
      </c>
      <c r="E9" s="2">
        <v>0</v>
      </c>
      <c r="F9" s="7">
        <v>0</v>
      </c>
      <c r="G9" s="7">
        <v>0</v>
      </c>
      <c r="H9" s="6">
        <v>13</v>
      </c>
    </row>
    <row r="10" spans="1:8" ht="15.75" thickBot="1" x14ac:dyDescent="0.3">
      <c r="A10" s="2">
        <v>9</v>
      </c>
      <c r="B10" s="2">
        <v>0.2</v>
      </c>
      <c r="C10" s="2">
        <v>3</v>
      </c>
      <c r="D10" s="2">
        <v>1</v>
      </c>
      <c r="E10" s="2">
        <v>0</v>
      </c>
      <c r="F10" s="7">
        <v>0.33333333329999998</v>
      </c>
      <c r="G10" s="7">
        <v>0</v>
      </c>
      <c r="H10" s="6">
        <v>16</v>
      </c>
    </row>
    <row r="11" spans="1:8" ht="15.75" thickBot="1" x14ac:dyDescent="0.3">
      <c r="A11" s="2">
        <v>10</v>
      </c>
      <c r="B11" s="2">
        <v>0.2</v>
      </c>
      <c r="C11" s="2">
        <v>3</v>
      </c>
      <c r="D11" s="2">
        <v>0</v>
      </c>
      <c r="E11" s="2">
        <v>1</v>
      </c>
      <c r="F11" s="7">
        <v>0</v>
      </c>
      <c r="G11" s="7">
        <v>0.33333333329999998</v>
      </c>
      <c r="H11" s="6">
        <v>17</v>
      </c>
    </row>
    <row r="12" spans="1:8" ht="15.75" thickBot="1" x14ac:dyDescent="0.3">
      <c r="A12" s="2">
        <v>11</v>
      </c>
      <c r="B12" s="2">
        <v>0.2</v>
      </c>
      <c r="C12" s="2">
        <v>3</v>
      </c>
      <c r="D12" s="2">
        <v>1</v>
      </c>
      <c r="E12" s="2">
        <v>1</v>
      </c>
      <c r="F12" s="7">
        <v>0.33333333329999998</v>
      </c>
      <c r="G12" s="7">
        <v>0.33333333329999998</v>
      </c>
      <c r="H12" s="6">
        <v>18</v>
      </c>
    </row>
    <row r="13" spans="1:8" ht="15.75" thickBot="1" x14ac:dyDescent="0.3">
      <c r="A13" s="2">
        <v>12</v>
      </c>
      <c r="B13" s="2">
        <v>0.2</v>
      </c>
      <c r="C13" s="2">
        <v>5</v>
      </c>
      <c r="D13" s="2">
        <v>1</v>
      </c>
      <c r="E13" s="2">
        <v>0</v>
      </c>
      <c r="F13" s="7">
        <v>0.2</v>
      </c>
      <c r="G13" s="7">
        <v>0</v>
      </c>
      <c r="H13" s="6">
        <v>19</v>
      </c>
    </row>
    <row r="14" spans="1:8" ht="15.75" thickBot="1" x14ac:dyDescent="0.3">
      <c r="A14" s="2">
        <v>13</v>
      </c>
      <c r="B14" s="2">
        <v>0.2</v>
      </c>
      <c r="C14" s="2">
        <v>5</v>
      </c>
      <c r="D14" s="2">
        <v>0</v>
      </c>
      <c r="E14" s="2">
        <v>1</v>
      </c>
      <c r="F14" s="7">
        <v>0</v>
      </c>
      <c r="G14" s="7">
        <v>0.2</v>
      </c>
      <c r="H14" s="6">
        <v>20</v>
      </c>
    </row>
    <row r="15" spans="1:8" ht="15.75" thickBot="1" x14ac:dyDescent="0.3">
      <c r="A15" s="2">
        <v>14</v>
      </c>
      <c r="B15" s="2">
        <v>0.2</v>
      </c>
      <c r="C15" s="2">
        <v>5</v>
      </c>
      <c r="D15" s="2">
        <v>1</v>
      </c>
      <c r="E15" s="2">
        <v>1</v>
      </c>
      <c r="F15" s="7">
        <v>0.2</v>
      </c>
      <c r="G15" s="7">
        <v>0.2</v>
      </c>
      <c r="H15" s="6">
        <v>21</v>
      </c>
    </row>
    <row r="16" spans="1:8" ht="15.75" thickBot="1" x14ac:dyDescent="0.3">
      <c r="A16" s="2">
        <v>15</v>
      </c>
      <c r="B16" s="2">
        <v>0.3</v>
      </c>
      <c r="C16" s="2">
        <v>2</v>
      </c>
      <c r="D16" s="2">
        <v>0</v>
      </c>
      <c r="E16" s="2">
        <v>0</v>
      </c>
      <c r="F16" s="7">
        <v>0</v>
      </c>
      <c r="G16" s="7">
        <v>0</v>
      </c>
      <c r="H16" s="6">
        <v>25</v>
      </c>
    </row>
    <row r="17" spans="1:8" ht="15.75" thickBot="1" x14ac:dyDescent="0.3">
      <c r="A17" s="2">
        <v>16</v>
      </c>
      <c r="B17" s="2">
        <v>0.3</v>
      </c>
      <c r="C17" s="2">
        <v>3</v>
      </c>
      <c r="D17" s="2">
        <v>1</v>
      </c>
      <c r="E17" s="2">
        <v>0</v>
      </c>
      <c r="F17" s="7">
        <v>0.33333333329999998</v>
      </c>
      <c r="G17" s="7">
        <v>0</v>
      </c>
      <c r="H17" s="6">
        <v>28</v>
      </c>
    </row>
    <row r="18" spans="1:8" ht="15.75" thickBot="1" x14ac:dyDescent="0.3">
      <c r="A18" s="2">
        <v>17</v>
      </c>
      <c r="B18" s="2">
        <v>0.3</v>
      </c>
      <c r="C18" s="2">
        <v>3</v>
      </c>
      <c r="D18" s="2">
        <v>0</v>
      </c>
      <c r="E18" s="2">
        <v>1</v>
      </c>
      <c r="F18" s="7">
        <v>0</v>
      </c>
      <c r="G18" s="7">
        <v>0.33333333329999998</v>
      </c>
      <c r="H18" s="6">
        <v>29</v>
      </c>
    </row>
    <row r="19" spans="1:8" ht="15.75" thickBot="1" x14ac:dyDescent="0.3">
      <c r="A19" s="2">
        <v>18</v>
      </c>
      <c r="B19" s="2">
        <v>0.3</v>
      </c>
      <c r="C19" s="2">
        <v>3</v>
      </c>
      <c r="D19" s="2">
        <v>1</v>
      </c>
      <c r="E19" s="2">
        <v>1</v>
      </c>
      <c r="F19" s="7">
        <v>0.33333333329999998</v>
      </c>
      <c r="G19" s="7">
        <v>0.33333333329999998</v>
      </c>
      <c r="H19" s="6">
        <v>30</v>
      </c>
    </row>
    <row r="20" spans="1:8" ht="15.75" thickBot="1" x14ac:dyDescent="0.3">
      <c r="A20" s="2">
        <v>19</v>
      </c>
      <c r="B20" s="2">
        <v>0.3</v>
      </c>
      <c r="C20" s="2">
        <v>5</v>
      </c>
      <c r="D20" s="2">
        <v>1</v>
      </c>
      <c r="E20" s="2">
        <v>0</v>
      </c>
      <c r="F20" s="7">
        <v>0.2</v>
      </c>
      <c r="G20" s="7">
        <v>0</v>
      </c>
      <c r="H20" s="6">
        <v>31</v>
      </c>
    </row>
    <row r="21" spans="1:8" ht="15.75" thickBot="1" x14ac:dyDescent="0.3">
      <c r="A21" s="2">
        <v>20</v>
      </c>
      <c r="B21" s="2">
        <v>0.3</v>
      </c>
      <c r="C21" s="2">
        <v>5</v>
      </c>
      <c r="D21" s="2">
        <v>0</v>
      </c>
      <c r="E21" s="2">
        <v>1</v>
      </c>
      <c r="F21" s="7">
        <v>0</v>
      </c>
      <c r="G21" s="7">
        <v>0.2</v>
      </c>
      <c r="H21" s="6">
        <v>32</v>
      </c>
    </row>
    <row r="22" spans="1:8" ht="15.75" thickBot="1" x14ac:dyDescent="0.3">
      <c r="A22" s="2">
        <v>21</v>
      </c>
      <c r="B22" s="2">
        <v>0.3</v>
      </c>
      <c r="C22" s="2">
        <v>5</v>
      </c>
      <c r="D22" s="2">
        <v>1</v>
      </c>
      <c r="E22" s="2">
        <v>1</v>
      </c>
      <c r="F22" s="7">
        <v>0.2</v>
      </c>
      <c r="G22" s="7">
        <v>0.2</v>
      </c>
      <c r="H22" s="6">
        <v>33</v>
      </c>
    </row>
    <row r="23" spans="1:8" ht="15.75" thickBot="1" x14ac:dyDescent="0.3">
      <c r="A23" s="2">
        <v>22</v>
      </c>
      <c r="B23" s="2">
        <v>0.5</v>
      </c>
      <c r="C23" s="2">
        <v>2</v>
      </c>
      <c r="D23" s="2">
        <v>0</v>
      </c>
      <c r="E23" s="2">
        <v>0</v>
      </c>
      <c r="F23" s="7">
        <v>0</v>
      </c>
      <c r="G23" s="7">
        <v>0</v>
      </c>
      <c r="H23" s="6">
        <v>37</v>
      </c>
    </row>
    <row r="24" spans="1:8" ht="15.75" thickBot="1" x14ac:dyDescent="0.3">
      <c r="A24" s="2">
        <v>23</v>
      </c>
      <c r="B24" s="2">
        <v>0.5</v>
      </c>
      <c r="C24" s="2">
        <v>3</v>
      </c>
      <c r="D24" s="2">
        <v>1</v>
      </c>
      <c r="E24" s="2">
        <v>0</v>
      </c>
      <c r="F24" s="7">
        <v>0.33333333329999998</v>
      </c>
      <c r="G24" s="7">
        <v>0</v>
      </c>
      <c r="H24" s="6">
        <v>40</v>
      </c>
    </row>
    <row r="25" spans="1:8" ht="15.75" thickBot="1" x14ac:dyDescent="0.3">
      <c r="A25" s="2">
        <v>24</v>
      </c>
      <c r="B25" s="2">
        <v>0.5</v>
      </c>
      <c r="C25" s="2">
        <v>3</v>
      </c>
      <c r="D25" s="2">
        <v>0</v>
      </c>
      <c r="E25" s="2">
        <v>1</v>
      </c>
      <c r="F25" s="7">
        <v>0</v>
      </c>
      <c r="G25" s="7">
        <v>0.33333333329999998</v>
      </c>
      <c r="H25" s="6">
        <v>41</v>
      </c>
    </row>
    <row r="26" spans="1:8" ht="15.75" thickBot="1" x14ac:dyDescent="0.3">
      <c r="A26" s="2">
        <v>25</v>
      </c>
      <c r="B26" s="2">
        <v>0.5</v>
      </c>
      <c r="C26" s="2">
        <v>3</v>
      </c>
      <c r="D26" s="2">
        <v>1</v>
      </c>
      <c r="E26" s="2">
        <v>1</v>
      </c>
      <c r="F26" s="7">
        <v>0.33333333329999998</v>
      </c>
      <c r="G26" s="7">
        <v>0.33333333329999998</v>
      </c>
      <c r="H26" s="6">
        <v>42</v>
      </c>
    </row>
    <row r="27" spans="1:8" ht="15.75" thickBot="1" x14ac:dyDescent="0.3">
      <c r="A27" s="2">
        <v>26</v>
      </c>
      <c r="B27" s="2">
        <v>0.5</v>
      </c>
      <c r="C27" s="2">
        <v>5</v>
      </c>
      <c r="D27" s="2">
        <v>1</v>
      </c>
      <c r="E27" s="2">
        <v>0</v>
      </c>
      <c r="F27" s="7">
        <v>0.2</v>
      </c>
      <c r="G27" s="7">
        <v>0</v>
      </c>
      <c r="H27" s="6">
        <v>43</v>
      </c>
    </row>
    <row r="28" spans="1:8" ht="15.75" thickBot="1" x14ac:dyDescent="0.3">
      <c r="A28" s="2">
        <v>27</v>
      </c>
      <c r="B28" s="2">
        <v>0.5</v>
      </c>
      <c r="C28" s="2">
        <v>5</v>
      </c>
      <c r="D28" s="2">
        <v>0</v>
      </c>
      <c r="E28" s="2">
        <v>1</v>
      </c>
      <c r="F28" s="7">
        <v>0</v>
      </c>
      <c r="G28" s="7">
        <v>0.2</v>
      </c>
      <c r="H28" s="6">
        <v>44</v>
      </c>
    </row>
    <row r="29" spans="1:8" ht="15.75" thickBot="1" x14ac:dyDescent="0.3">
      <c r="A29" s="2">
        <v>28</v>
      </c>
      <c r="B29" s="2">
        <v>0.5</v>
      </c>
      <c r="C29" s="2">
        <v>5</v>
      </c>
      <c r="D29" s="2">
        <v>1</v>
      </c>
      <c r="E29" s="2">
        <v>1</v>
      </c>
      <c r="F29" s="7">
        <v>0.2</v>
      </c>
      <c r="G29" s="7">
        <v>0.2</v>
      </c>
      <c r="H29" s="6">
        <v>45</v>
      </c>
    </row>
    <row r="30" spans="1:8" ht="15.75" thickBot="1" x14ac:dyDescent="0.3">
      <c r="A30" s="3">
        <v>29</v>
      </c>
      <c r="B30" s="3">
        <v>0.1</v>
      </c>
      <c r="C30" s="3">
        <v>7</v>
      </c>
      <c r="D30" s="3">
        <v>2</v>
      </c>
      <c r="E30" s="3">
        <v>0</v>
      </c>
      <c r="F30" s="9">
        <v>0.28999999999999998</v>
      </c>
      <c r="G30" s="9">
        <v>0</v>
      </c>
      <c r="H30" s="6">
        <v>10</v>
      </c>
    </row>
    <row r="31" spans="1:8" ht="15.75" thickBot="1" x14ac:dyDescent="0.3">
      <c r="A31" s="3">
        <v>30</v>
      </c>
      <c r="B31" s="3">
        <v>0.1</v>
      </c>
      <c r="C31" s="3">
        <v>7</v>
      </c>
      <c r="D31" s="3">
        <v>0</v>
      </c>
      <c r="E31" s="3">
        <v>2</v>
      </c>
      <c r="F31" s="9">
        <v>0</v>
      </c>
      <c r="G31" s="9">
        <v>0.28999999999999998</v>
      </c>
      <c r="H31" s="6">
        <v>11</v>
      </c>
    </row>
    <row r="32" spans="1:8" ht="15.75" thickBot="1" x14ac:dyDescent="0.3">
      <c r="A32" s="3">
        <v>31</v>
      </c>
      <c r="B32" s="3">
        <v>0.1</v>
      </c>
      <c r="C32" s="3">
        <v>7</v>
      </c>
      <c r="D32" s="3">
        <v>1</v>
      </c>
      <c r="E32" s="3">
        <v>1</v>
      </c>
      <c r="F32" s="9">
        <v>0.14000000000000001</v>
      </c>
      <c r="G32" s="9">
        <v>0.14000000000000001</v>
      </c>
      <c r="H32" s="6">
        <v>12</v>
      </c>
    </row>
    <row r="33" spans="1:8" ht="15.75" thickBot="1" x14ac:dyDescent="0.3">
      <c r="A33" s="3">
        <v>32</v>
      </c>
      <c r="B33" s="3">
        <v>0.2</v>
      </c>
      <c r="C33" s="3">
        <v>7</v>
      </c>
      <c r="D33" s="3">
        <v>2</v>
      </c>
      <c r="E33" s="3">
        <v>0</v>
      </c>
      <c r="F33" s="9">
        <v>0.28999999999999998</v>
      </c>
      <c r="G33" s="9">
        <v>0</v>
      </c>
      <c r="H33" s="6">
        <v>22</v>
      </c>
    </row>
    <row r="34" spans="1:8" ht="15.75" thickBot="1" x14ac:dyDescent="0.3">
      <c r="A34" s="3">
        <v>33</v>
      </c>
      <c r="B34" s="3">
        <v>0.2</v>
      </c>
      <c r="C34" s="3">
        <v>7</v>
      </c>
      <c r="D34" s="3">
        <v>0</v>
      </c>
      <c r="E34" s="3">
        <v>2</v>
      </c>
      <c r="F34" s="9">
        <v>0</v>
      </c>
      <c r="G34" s="9">
        <v>0.28999999999999998</v>
      </c>
      <c r="H34" s="6">
        <v>23</v>
      </c>
    </row>
    <row r="35" spans="1:8" ht="15.75" thickBot="1" x14ac:dyDescent="0.3">
      <c r="A35" s="3">
        <v>34</v>
      </c>
      <c r="B35" s="3">
        <v>0.2</v>
      </c>
      <c r="C35" s="3">
        <v>7</v>
      </c>
      <c r="D35" s="3">
        <v>1</v>
      </c>
      <c r="E35" s="3">
        <v>1</v>
      </c>
      <c r="F35" s="9">
        <v>0.14000000000000001</v>
      </c>
      <c r="G35" s="9">
        <v>0.14000000000000001</v>
      </c>
      <c r="H35" s="6">
        <v>24</v>
      </c>
    </row>
    <row r="36" spans="1:8" ht="15.75" thickBot="1" x14ac:dyDescent="0.3">
      <c r="A36" s="3">
        <v>35</v>
      </c>
      <c r="B36" s="3">
        <v>0.3</v>
      </c>
      <c r="C36" s="3">
        <v>7</v>
      </c>
      <c r="D36" s="3">
        <v>2</v>
      </c>
      <c r="E36" s="3">
        <v>0</v>
      </c>
      <c r="F36" s="9">
        <v>0.28999999999999998</v>
      </c>
      <c r="G36" s="9">
        <v>0</v>
      </c>
      <c r="H36" s="6">
        <v>34</v>
      </c>
    </row>
    <row r="37" spans="1:8" ht="15.75" thickBot="1" x14ac:dyDescent="0.3">
      <c r="A37" s="3">
        <v>36</v>
      </c>
      <c r="B37" s="3">
        <v>0.3</v>
      </c>
      <c r="C37" s="3">
        <v>7</v>
      </c>
      <c r="D37" s="3">
        <v>0</v>
      </c>
      <c r="E37" s="3">
        <v>2</v>
      </c>
      <c r="F37" s="9">
        <v>0</v>
      </c>
      <c r="G37" s="9">
        <v>0.28999999999999998</v>
      </c>
      <c r="H37" s="6">
        <v>35</v>
      </c>
    </row>
    <row r="38" spans="1:8" ht="15.75" thickBot="1" x14ac:dyDescent="0.3">
      <c r="A38" s="3">
        <v>37</v>
      </c>
      <c r="B38" s="3">
        <v>0.3</v>
      </c>
      <c r="C38" s="3">
        <v>7</v>
      </c>
      <c r="D38" s="3">
        <v>1</v>
      </c>
      <c r="E38" s="3">
        <v>1</v>
      </c>
      <c r="F38" s="9">
        <v>0.14000000000000001</v>
      </c>
      <c r="G38" s="9">
        <v>0.14000000000000001</v>
      </c>
      <c r="H38" s="6">
        <v>36</v>
      </c>
    </row>
    <row r="39" spans="1:8" ht="15.75" thickBot="1" x14ac:dyDescent="0.3">
      <c r="A39" s="3">
        <v>38</v>
      </c>
      <c r="B39" s="3">
        <v>0.5</v>
      </c>
      <c r="C39" s="3">
        <v>7</v>
      </c>
      <c r="D39" s="3">
        <v>2</v>
      </c>
      <c r="E39" s="3">
        <v>0</v>
      </c>
      <c r="F39" s="9">
        <v>0.28999999999999998</v>
      </c>
      <c r="G39" s="9">
        <v>0</v>
      </c>
      <c r="H39" s="6">
        <v>46</v>
      </c>
    </row>
    <row r="40" spans="1:8" ht="15.75" thickBot="1" x14ac:dyDescent="0.3">
      <c r="A40" s="3">
        <v>39</v>
      </c>
      <c r="B40" s="3">
        <v>0.5</v>
      </c>
      <c r="C40" s="3">
        <v>7</v>
      </c>
      <c r="D40" s="3">
        <v>0</v>
      </c>
      <c r="E40" s="3">
        <v>2</v>
      </c>
      <c r="F40" s="9">
        <v>0</v>
      </c>
      <c r="G40" s="9">
        <v>0.28999999999999998</v>
      </c>
      <c r="H40" s="6">
        <v>47</v>
      </c>
    </row>
    <row r="41" spans="1:8" ht="15.75" thickBot="1" x14ac:dyDescent="0.3">
      <c r="A41" s="3">
        <v>40</v>
      </c>
      <c r="B41" s="3">
        <v>0.5</v>
      </c>
      <c r="C41" s="3">
        <v>7</v>
      </c>
      <c r="D41" s="3">
        <v>1</v>
      </c>
      <c r="E41" s="3">
        <v>1</v>
      </c>
      <c r="F41" s="9">
        <v>0.14000000000000001</v>
      </c>
      <c r="G41" s="9">
        <v>0.14000000000000001</v>
      </c>
      <c r="H41" s="6">
        <v>48</v>
      </c>
    </row>
    <row r="42" spans="1:8" ht="15.75" thickBot="1" x14ac:dyDescent="0.3">
      <c r="A42" s="3">
        <v>41</v>
      </c>
      <c r="B42" s="4">
        <v>0.1</v>
      </c>
      <c r="C42" s="3">
        <v>2</v>
      </c>
      <c r="D42" s="3">
        <v>1</v>
      </c>
      <c r="E42" s="3">
        <v>0</v>
      </c>
      <c r="F42" s="8">
        <v>0.5</v>
      </c>
      <c r="G42" s="8">
        <v>0</v>
      </c>
      <c r="H42" s="6">
        <v>2</v>
      </c>
    </row>
    <row r="43" spans="1:8" ht="15.75" thickBot="1" x14ac:dyDescent="0.3">
      <c r="A43" s="3">
        <v>42</v>
      </c>
      <c r="B43" s="4">
        <v>0.1</v>
      </c>
      <c r="C43" s="3">
        <v>2</v>
      </c>
      <c r="D43" s="3">
        <v>0</v>
      </c>
      <c r="E43" s="3">
        <v>1</v>
      </c>
      <c r="F43" s="8">
        <v>0</v>
      </c>
      <c r="G43" s="8">
        <v>0.5</v>
      </c>
      <c r="H43" s="6">
        <v>3</v>
      </c>
    </row>
    <row r="44" spans="1:8" ht="15.75" thickBot="1" x14ac:dyDescent="0.3">
      <c r="A44" s="3">
        <v>43</v>
      </c>
      <c r="B44" s="4">
        <v>0.2</v>
      </c>
      <c r="C44" s="3">
        <v>2</v>
      </c>
      <c r="D44" s="3">
        <v>1</v>
      </c>
      <c r="E44" s="3">
        <v>0</v>
      </c>
      <c r="F44" s="8">
        <v>0.5</v>
      </c>
      <c r="G44" s="8">
        <v>0</v>
      </c>
      <c r="H44" s="6">
        <v>14</v>
      </c>
    </row>
    <row r="45" spans="1:8" ht="15.75" thickBot="1" x14ac:dyDescent="0.3">
      <c r="A45" s="3">
        <v>44</v>
      </c>
      <c r="B45" s="4">
        <v>0.2</v>
      </c>
      <c r="C45" s="3">
        <v>2</v>
      </c>
      <c r="D45" s="3">
        <v>0</v>
      </c>
      <c r="E45" s="3">
        <v>1</v>
      </c>
      <c r="F45" s="8">
        <v>0</v>
      </c>
      <c r="G45" s="8">
        <v>0.5</v>
      </c>
      <c r="H45" s="6">
        <v>15</v>
      </c>
    </row>
    <row r="46" spans="1:8" ht="15.75" thickBot="1" x14ac:dyDescent="0.3">
      <c r="A46" s="3">
        <v>45</v>
      </c>
      <c r="B46" s="4">
        <v>0.3</v>
      </c>
      <c r="C46" s="3">
        <v>2</v>
      </c>
      <c r="D46" s="3">
        <v>1</v>
      </c>
      <c r="E46" s="3">
        <v>0</v>
      </c>
      <c r="F46" s="8">
        <v>0.5</v>
      </c>
      <c r="G46" s="8">
        <v>0</v>
      </c>
      <c r="H46" s="6">
        <v>26</v>
      </c>
    </row>
    <row r="47" spans="1:8" ht="15.75" thickBot="1" x14ac:dyDescent="0.3">
      <c r="A47" s="3">
        <v>46</v>
      </c>
      <c r="B47" s="4">
        <v>0.3</v>
      </c>
      <c r="C47" s="3">
        <v>2</v>
      </c>
      <c r="D47" s="3">
        <v>0</v>
      </c>
      <c r="E47" s="3">
        <v>1</v>
      </c>
      <c r="F47" s="8">
        <v>0</v>
      </c>
      <c r="G47" s="8">
        <v>0.5</v>
      </c>
      <c r="H47" s="6">
        <v>27</v>
      </c>
    </row>
    <row r="48" spans="1:8" ht="15.75" thickBot="1" x14ac:dyDescent="0.3">
      <c r="A48" s="3">
        <v>47</v>
      </c>
      <c r="B48" s="4">
        <v>0.5</v>
      </c>
      <c r="C48" s="3">
        <v>2</v>
      </c>
      <c r="D48" s="3">
        <v>1</v>
      </c>
      <c r="E48" s="3">
        <v>0</v>
      </c>
      <c r="F48" s="8">
        <v>0.5</v>
      </c>
      <c r="G48" s="8">
        <v>0</v>
      </c>
      <c r="H48" s="6">
        <v>38</v>
      </c>
    </row>
    <row r="49" spans="1:8" ht="15.75" thickBot="1" x14ac:dyDescent="0.3">
      <c r="A49" s="3">
        <v>48</v>
      </c>
      <c r="B49" s="4">
        <v>0.5</v>
      </c>
      <c r="C49" s="3">
        <v>2</v>
      </c>
      <c r="D49" s="3">
        <v>0</v>
      </c>
      <c r="E49" s="3">
        <v>1</v>
      </c>
      <c r="F49" s="8">
        <v>0</v>
      </c>
      <c r="G49" s="8">
        <v>0.5</v>
      </c>
      <c r="H49" s="6">
        <v>39</v>
      </c>
    </row>
  </sheetData>
  <sortState xmlns:xlrd2="http://schemas.microsoft.com/office/spreadsheetml/2017/richdata2" ref="A2:H49">
    <sortCondition ref="A2:A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8F31-5677-49D6-AFA4-C40F5B5280B8}">
  <dimension ref="A1:G49"/>
  <sheetViews>
    <sheetView workbookViewId="0">
      <selection activeCell="I11" sqref="I11"/>
    </sheetView>
  </sheetViews>
  <sheetFormatPr defaultRowHeight="15" x14ac:dyDescent="0.25"/>
  <cols>
    <col min="6" max="7" width="9.5703125" bestFit="1" customWidth="1"/>
  </cols>
  <sheetData>
    <row r="1" spans="1:7" ht="27" thickBot="1" x14ac:dyDescent="0.3">
      <c r="A1" s="5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</row>
    <row r="2" spans="1:7" ht="15.75" thickBot="1" x14ac:dyDescent="0.3">
      <c r="A2" s="6">
        <v>1</v>
      </c>
      <c r="B2" s="2">
        <v>0.1</v>
      </c>
      <c r="C2" s="2">
        <v>2</v>
      </c>
      <c r="D2" s="2">
        <v>0</v>
      </c>
      <c r="E2" s="2">
        <v>0</v>
      </c>
      <c r="F2" s="7">
        <v>0</v>
      </c>
      <c r="G2" s="7">
        <v>0</v>
      </c>
    </row>
    <row r="3" spans="1:7" ht="15.75" thickBot="1" x14ac:dyDescent="0.3">
      <c r="A3" s="6">
        <v>2</v>
      </c>
      <c r="B3" s="4">
        <v>0.1</v>
      </c>
      <c r="C3" s="3">
        <v>2</v>
      </c>
      <c r="D3" s="3">
        <v>1</v>
      </c>
      <c r="E3" s="3">
        <v>0</v>
      </c>
      <c r="F3" s="8">
        <v>0.5</v>
      </c>
      <c r="G3" s="8">
        <v>0</v>
      </c>
    </row>
    <row r="4" spans="1:7" ht="15.75" thickBot="1" x14ac:dyDescent="0.3">
      <c r="A4" s="6">
        <v>3</v>
      </c>
      <c r="B4" s="4">
        <v>0.1</v>
      </c>
      <c r="C4" s="3">
        <v>2</v>
      </c>
      <c r="D4" s="3">
        <v>0</v>
      </c>
      <c r="E4" s="3">
        <v>1</v>
      </c>
      <c r="F4" s="8">
        <v>0</v>
      </c>
      <c r="G4" s="8">
        <v>0.5</v>
      </c>
    </row>
    <row r="5" spans="1:7" ht="15.75" thickBot="1" x14ac:dyDescent="0.3">
      <c r="A5" s="6">
        <v>4</v>
      </c>
      <c r="B5" s="2">
        <v>0.1</v>
      </c>
      <c r="C5" s="2">
        <v>3</v>
      </c>
      <c r="D5" s="2">
        <v>1</v>
      </c>
      <c r="E5" s="2">
        <v>0</v>
      </c>
      <c r="F5" s="7">
        <v>0.33333333329999998</v>
      </c>
      <c r="G5" s="7">
        <v>0</v>
      </c>
    </row>
    <row r="6" spans="1:7" ht="15.75" thickBot="1" x14ac:dyDescent="0.3">
      <c r="A6" s="6">
        <v>5</v>
      </c>
      <c r="B6" s="2">
        <v>0.1</v>
      </c>
      <c r="C6" s="2">
        <v>3</v>
      </c>
      <c r="D6" s="2">
        <v>0</v>
      </c>
      <c r="E6" s="2">
        <v>1</v>
      </c>
      <c r="F6" s="7">
        <v>0</v>
      </c>
      <c r="G6" s="7">
        <v>0.33333333329999998</v>
      </c>
    </row>
    <row r="7" spans="1:7" ht="15.75" thickBot="1" x14ac:dyDescent="0.3">
      <c r="A7" s="6">
        <v>6</v>
      </c>
      <c r="B7" s="2">
        <v>0.1</v>
      </c>
      <c r="C7" s="2">
        <v>3</v>
      </c>
      <c r="D7" s="2">
        <v>1</v>
      </c>
      <c r="E7" s="2">
        <v>1</v>
      </c>
      <c r="F7" s="7">
        <v>0.33333333329999998</v>
      </c>
      <c r="G7" s="7">
        <v>0.33333333329999998</v>
      </c>
    </row>
    <row r="8" spans="1:7" ht="15.75" thickBot="1" x14ac:dyDescent="0.3">
      <c r="A8" s="6">
        <v>7</v>
      </c>
      <c r="B8" s="2">
        <v>0.1</v>
      </c>
      <c r="C8" s="2">
        <v>5</v>
      </c>
      <c r="D8" s="2">
        <v>1</v>
      </c>
      <c r="E8" s="2">
        <v>0</v>
      </c>
      <c r="F8" s="7">
        <v>0.2</v>
      </c>
      <c r="G8" s="7">
        <v>0</v>
      </c>
    </row>
    <row r="9" spans="1:7" ht="15.75" thickBot="1" x14ac:dyDescent="0.3">
      <c r="A9" s="6">
        <v>8</v>
      </c>
      <c r="B9" s="2">
        <v>0.1</v>
      </c>
      <c r="C9" s="2">
        <v>5</v>
      </c>
      <c r="D9" s="2">
        <v>0</v>
      </c>
      <c r="E9" s="2">
        <v>1</v>
      </c>
      <c r="F9" s="7">
        <v>0</v>
      </c>
      <c r="G9" s="7">
        <v>0.2</v>
      </c>
    </row>
    <row r="10" spans="1:7" ht="15.75" thickBot="1" x14ac:dyDescent="0.3">
      <c r="A10" s="6">
        <v>9</v>
      </c>
      <c r="B10" s="2">
        <v>0.1</v>
      </c>
      <c r="C10" s="2">
        <v>5</v>
      </c>
      <c r="D10" s="2">
        <v>1</v>
      </c>
      <c r="E10" s="2">
        <v>1</v>
      </c>
      <c r="F10" s="7">
        <v>0.2</v>
      </c>
      <c r="G10" s="7">
        <v>0.2</v>
      </c>
    </row>
    <row r="11" spans="1:7" ht="15.75" thickBot="1" x14ac:dyDescent="0.3">
      <c r="A11" s="6">
        <v>10</v>
      </c>
      <c r="B11" s="3">
        <v>0.1</v>
      </c>
      <c r="C11" s="3">
        <v>7</v>
      </c>
      <c r="D11" s="3">
        <v>2</v>
      </c>
      <c r="E11" s="3">
        <v>0</v>
      </c>
      <c r="F11" s="9">
        <v>0.28999999999999998</v>
      </c>
      <c r="G11" s="9">
        <v>0</v>
      </c>
    </row>
    <row r="12" spans="1:7" ht="15.75" thickBot="1" x14ac:dyDescent="0.3">
      <c r="A12" s="6">
        <v>11</v>
      </c>
      <c r="B12" s="3">
        <v>0.1</v>
      </c>
      <c r="C12" s="3">
        <v>7</v>
      </c>
      <c r="D12" s="3">
        <v>0</v>
      </c>
      <c r="E12" s="3">
        <v>2</v>
      </c>
      <c r="F12" s="9">
        <v>0</v>
      </c>
      <c r="G12" s="9">
        <v>0.28999999999999998</v>
      </c>
    </row>
    <row r="13" spans="1:7" ht="15.75" thickBot="1" x14ac:dyDescent="0.3">
      <c r="A13" s="6">
        <v>12</v>
      </c>
      <c r="B13" s="3">
        <v>0.1</v>
      </c>
      <c r="C13" s="3">
        <v>7</v>
      </c>
      <c r="D13" s="3">
        <v>1</v>
      </c>
      <c r="E13" s="3">
        <v>1</v>
      </c>
      <c r="F13" s="9">
        <v>0.14000000000000001</v>
      </c>
      <c r="G13" s="9">
        <v>0.14000000000000001</v>
      </c>
    </row>
    <row r="14" spans="1:7" ht="15.75" thickBot="1" x14ac:dyDescent="0.3">
      <c r="A14" s="6">
        <v>13</v>
      </c>
      <c r="B14" s="2">
        <v>0.2</v>
      </c>
      <c r="C14" s="2">
        <v>2</v>
      </c>
      <c r="D14" s="2">
        <v>0</v>
      </c>
      <c r="E14" s="2">
        <v>0</v>
      </c>
      <c r="F14" s="7">
        <v>0</v>
      </c>
      <c r="G14" s="7">
        <v>0</v>
      </c>
    </row>
    <row r="15" spans="1:7" ht="15.75" thickBot="1" x14ac:dyDescent="0.3">
      <c r="A15" s="6">
        <v>14</v>
      </c>
      <c r="B15" s="4">
        <v>0.2</v>
      </c>
      <c r="C15" s="3">
        <v>2</v>
      </c>
      <c r="D15" s="3">
        <v>1</v>
      </c>
      <c r="E15" s="3">
        <v>0</v>
      </c>
      <c r="F15" s="8">
        <v>0.5</v>
      </c>
      <c r="G15" s="8">
        <v>0</v>
      </c>
    </row>
    <row r="16" spans="1:7" ht="15.75" thickBot="1" x14ac:dyDescent="0.3">
      <c r="A16" s="6">
        <v>15</v>
      </c>
      <c r="B16" s="4">
        <v>0.2</v>
      </c>
      <c r="C16" s="3">
        <v>2</v>
      </c>
      <c r="D16" s="3">
        <v>0</v>
      </c>
      <c r="E16" s="3">
        <v>1</v>
      </c>
      <c r="F16" s="8">
        <v>0</v>
      </c>
      <c r="G16" s="8">
        <v>0.5</v>
      </c>
    </row>
    <row r="17" spans="1:7" ht="15.75" thickBot="1" x14ac:dyDescent="0.3">
      <c r="A17" s="6">
        <v>16</v>
      </c>
      <c r="B17" s="2">
        <v>0.2</v>
      </c>
      <c r="C17" s="2">
        <v>3</v>
      </c>
      <c r="D17" s="2">
        <v>1</v>
      </c>
      <c r="E17" s="2">
        <v>0</v>
      </c>
      <c r="F17" s="7">
        <v>0.33333333329999998</v>
      </c>
      <c r="G17" s="7">
        <v>0</v>
      </c>
    </row>
    <row r="18" spans="1:7" ht="15.75" thickBot="1" x14ac:dyDescent="0.3">
      <c r="A18" s="6">
        <v>17</v>
      </c>
      <c r="B18" s="2">
        <v>0.2</v>
      </c>
      <c r="C18" s="2">
        <v>3</v>
      </c>
      <c r="D18" s="2">
        <v>0</v>
      </c>
      <c r="E18" s="2">
        <v>1</v>
      </c>
      <c r="F18" s="7">
        <v>0</v>
      </c>
      <c r="G18" s="7">
        <v>0.33333333329999998</v>
      </c>
    </row>
    <row r="19" spans="1:7" ht="15.75" thickBot="1" x14ac:dyDescent="0.3">
      <c r="A19" s="6">
        <v>18</v>
      </c>
      <c r="B19" s="2">
        <v>0.2</v>
      </c>
      <c r="C19" s="2">
        <v>3</v>
      </c>
      <c r="D19" s="2">
        <v>1</v>
      </c>
      <c r="E19" s="2">
        <v>1</v>
      </c>
      <c r="F19" s="7">
        <v>0.33333333329999998</v>
      </c>
      <c r="G19" s="7">
        <v>0.33333333329999998</v>
      </c>
    </row>
    <row r="20" spans="1:7" ht="15.75" thickBot="1" x14ac:dyDescent="0.3">
      <c r="A20" s="6">
        <v>19</v>
      </c>
      <c r="B20" s="2">
        <v>0.2</v>
      </c>
      <c r="C20" s="2">
        <v>5</v>
      </c>
      <c r="D20" s="2">
        <v>1</v>
      </c>
      <c r="E20" s="2">
        <v>0</v>
      </c>
      <c r="F20" s="7">
        <v>0.2</v>
      </c>
      <c r="G20" s="7">
        <v>0</v>
      </c>
    </row>
    <row r="21" spans="1:7" ht="15.75" thickBot="1" x14ac:dyDescent="0.3">
      <c r="A21" s="6">
        <v>20</v>
      </c>
      <c r="B21" s="2">
        <v>0.2</v>
      </c>
      <c r="C21" s="2">
        <v>5</v>
      </c>
      <c r="D21" s="2">
        <v>0</v>
      </c>
      <c r="E21" s="2">
        <v>1</v>
      </c>
      <c r="F21" s="7">
        <v>0</v>
      </c>
      <c r="G21" s="7">
        <v>0.2</v>
      </c>
    </row>
    <row r="22" spans="1:7" ht="15.75" thickBot="1" x14ac:dyDescent="0.3">
      <c r="A22" s="6">
        <v>21</v>
      </c>
      <c r="B22" s="2">
        <v>0.2</v>
      </c>
      <c r="C22" s="2">
        <v>5</v>
      </c>
      <c r="D22" s="2">
        <v>1</v>
      </c>
      <c r="E22" s="2">
        <v>1</v>
      </c>
      <c r="F22" s="7">
        <v>0.2</v>
      </c>
      <c r="G22" s="7">
        <v>0.2</v>
      </c>
    </row>
    <row r="23" spans="1:7" ht="15.75" thickBot="1" x14ac:dyDescent="0.3">
      <c r="A23" s="6">
        <v>22</v>
      </c>
      <c r="B23" s="3">
        <v>0.2</v>
      </c>
      <c r="C23" s="3">
        <v>7</v>
      </c>
      <c r="D23" s="3">
        <v>2</v>
      </c>
      <c r="E23" s="3">
        <v>0</v>
      </c>
      <c r="F23" s="9">
        <v>0.28999999999999998</v>
      </c>
      <c r="G23" s="9">
        <v>0</v>
      </c>
    </row>
    <row r="24" spans="1:7" ht="15.75" thickBot="1" x14ac:dyDescent="0.3">
      <c r="A24" s="6">
        <v>23</v>
      </c>
      <c r="B24" s="3">
        <v>0.2</v>
      </c>
      <c r="C24" s="3">
        <v>7</v>
      </c>
      <c r="D24" s="3">
        <v>0</v>
      </c>
      <c r="E24" s="3">
        <v>2</v>
      </c>
      <c r="F24" s="9">
        <v>0</v>
      </c>
      <c r="G24" s="9">
        <v>0.28999999999999998</v>
      </c>
    </row>
    <row r="25" spans="1:7" ht="15.75" thickBot="1" x14ac:dyDescent="0.3">
      <c r="A25" s="6">
        <v>24</v>
      </c>
      <c r="B25" s="3">
        <v>0.2</v>
      </c>
      <c r="C25" s="3">
        <v>7</v>
      </c>
      <c r="D25" s="3">
        <v>1</v>
      </c>
      <c r="E25" s="3">
        <v>1</v>
      </c>
      <c r="F25" s="9">
        <v>0.14000000000000001</v>
      </c>
      <c r="G25" s="9">
        <v>0.14000000000000001</v>
      </c>
    </row>
    <row r="26" spans="1:7" ht="15.75" thickBot="1" x14ac:dyDescent="0.3">
      <c r="A26" s="6">
        <v>25</v>
      </c>
      <c r="B26" s="2">
        <v>0.3</v>
      </c>
      <c r="C26" s="2">
        <v>2</v>
      </c>
      <c r="D26" s="2">
        <v>0</v>
      </c>
      <c r="E26" s="2">
        <v>0</v>
      </c>
      <c r="F26" s="7">
        <v>0</v>
      </c>
      <c r="G26" s="7">
        <v>0</v>
      </c>
    </row>
    <row r="27" spans="1:7" ht="15.75" thickBot="1" x14ac:dyDescent="0.3">
      <c r="A27" s="6">
        <v>26</v>
      </c>
      <c r="B27" s="4">
        <v>0.3</v>
      </c>
      <c r="C27" s="3">
        <v>2</v>
      </c>
      <c r="D27" s="3">
        <v>1</v>
      </c>
      <c r="E27" s="3">
        <v>0</v>
      </c>
      <c r="F27" s="8">
        <v>0.5</v>
      </c>
      <c r="G27" s="8">
        <v>0</v>
      </c>
    </row>
    <row r="28" spans="1:7" ht="15.75" thickBot="1" x14ac:dyDescent="0.3">
      <c r="A28" s="6">
        <v>27</v>
      </c>
      <c r="B28" s="4">
        <v>0.3</v>
      </c>
      <c r="C28" s="3">
        <v>2</v>
      </c>
      <c r="D28" s="3">
        <v>0</v>
      </c>
      <c r="E28" s="3">
        <v>1</v>
      </c>
      <c r="F28" s="8">
        <v>0</v>
      </c>
      <c r="G28" s="8">
        <v>0.5</v>
      </c>
    </row>
    <row r="29" spans="1:7" ht="15.75" thickBot="1" x14ac:dyDescent="0.3">
      <c r="A29" s="6">
        <v>28</v>
      </c>
      <c r="B29" s="2">
        <v>0.3</v>
      </c>
      <c r="C29" s="2">
        <v>3</v>
      </c>
      <c r="D29" s="2">
        <v>1</v>
      </c>
      <c r="E29" s="2">
        <v>0</v>
      </c>
      <c r="F29" s="7">
        <v>0.33333333329999998</v>
      </c>
      <c r="G29" s="7">
        <v>0</v>
      </c>
    </row>
    <row r="30" spans="1:7" ht="15.75" thickBot="1" x14ac:dyDescent="0.3">
      <c r="A30" s="6">
        <v>29</v>
      </c>
      <c r="B30" s="2">
        <v>0.3</v>
      </c>
      <c r="C30" s="2">
        <v>3</v>
      </c>
      <c r="D30" s="2">
        <v>0</v>
      </c>
      <c r="E30" s="2">
        <v>1</v>
      </c>
      <c r="F30" s="7">
        <v>0</v>
      </c>
      <c r="G30" s="7">
        <v>0.33333333329999998</v>
      </c>
    </row>
    <row r="31" spans="1:7" ht="15.75" thickBot="1" x14ac:dyDescent="0.3">
      <c r="A31" s="6">
        <v>30</v>
      </c>
      <c r="B31" s="2">
        <v>0.3</v>
      </c>
      <c r="C31" s="2">
        <v>3</v>
      </c>
      <c r="D31" s="2">
        <v>1</v>
      </c>
      <c r="E31" s="2">
        <v>1</v>
      </c>
      <c r="F31" s="7">
        <v>0.33333333329999998</v>
      </c>
      <c r="G31" s="7">
        <v>0.33333333329999998</v>
      </c>
    </row>
    <row r="32" spans="1:7" ht="15.75" thickBot="1" x14ac:dyDescent="0.3">
      <c r="A32" s="6">
        <v>31</v>
      </c>
      <c r="B32" s="2">
        <v>0.3</v>
      </c>
      <c r="C32" s="2">
        <v>5</v>
      </c>
      <c r="D32" s="2">
        <v>1</v>
      </c>
      <c r="E32" s="2">
        <v>0</v>
      </c>
      <c r="F32" s="7">
        <v>0.2</v>
      </c>
      <c r="G32" s="7">
        <v>0</v>
      </c>
    </row>
    <row r="33" spans="1:7" ht="15.75" thickBot="1" x14ac:dyDescent="0.3">
      <c r="A33" s="6">
        <v>32</v>
      </c>
      <c r="B33" s="2">
        <v>0.3</v>
      </c>
      <c r="C33" s="2">
        <v>5</v>
      </c>
      <c r="D33" s="2">
        <v>0</v>
      </c>
      <c r="E33" s="2">
        <v>1</v>
      </c>
      <c r="F33" s="7">
        <v>0</v>
      </c>
      <c r="G33" s="7">
        <v>0.2</v>
      </c>
    </row>
    <row r="34" spans="1:7" ht="15.75" thickBot="1" x14ac:dyDescent="0.3">
      <c r="A34" s="6">
        <v>33</v>
      </c>
      <c r="B34" s="2">
        <v>0.3</v>
      </c>
      <c r="C34" s="2">
        <v>5</v>
      </c>
      <c r="D34" s="2">
        <v>1</v>
      </c>
      <c r="E34" s="2">
        <v>1</v>
      </c>
      <c r="F34" s="7">
        <v>0.2</v>
      </c>
      <c r="G34" s="7">
        <v>0.2</v>
      </c>
    </row>
    <row r="35" spans="1:7" ht="15.75" thickBot="1" x14ac:dyDescent="0.3">
      <c r="A35" s="6">
        <v>34</v>
      </c>
      <c r="B35" s="3">
        <v>0.3</v>
      </c>
      <c r="C35" s="3">
        <v>7</v>
      </c>
      <c r="D35" s="3">
        <v>2</v>
      </c>
      <c r="E35" s="3">
        <v>0</v>
      </c>
      <c r="F35" s="9">
        <v>0.28999999999999998</v>
      </c>
      <c r="G35" s="9">
        <v>0</v>
      </c>
    </row>
    <row r="36" spans="1:7" ht="15.75" thickBot="1" x14ac:dyDescent="0.3">
      <c r="A36" s="6">
        <v>35</v>
      </c>
      <c r="B36" s="3">
        <v>0.3</v>
      </c>
      <c r="C36" s="3">
        <v>7</v>
      </c>
      <c r="D36" s="3">
        <v>0</v>
      </c>
      <c r="E36" s="3">
        <v>2</v>
      </c>
      <c r="F36" s="9">
        <v>0</v>
      </c>
      <c r="G36" s="9">
        <v>0.28999999999999998</v>
      </c>
    </row>
    <row r="37" spans="1:7" ht="15.75" thickBot="1" x14ac:dyDescent="0.3">
      <c r="A37" s="6">
        <v>36</v>
      </c>
      <c r="B37" s="3">
        <v>0.3</v>
      </c>
      <c r="C37" s="3">
        <v>7</v>
      </c>
      <c r="D37" s="3">
        <v>1</v>
      </c>
      <c r="E37" s="3">
        <v>1</v>
      </c>
      <c r="F37" s="9">
        <v>0.14000000000000001</v>
      </c>
      <c r="G37" s="9">
        <v>0.14000000000000001</v>
      </c>
    </row>
    <row r="38" spans="1:7" ht="15.75" thickBot="1" x14ac:dyDescent="0.3">
      <c r="A38" s="6">
        <v>37</v>
      </c>
      <c r="B38" s="2">
        <v>0.5</v>
      </c>
      <c r="C38" s="2">
        <v>2</v>
      </c>
      <c r="D38" s="2">
        <v>0</v>
      </c>
      <c r="E38" s="2">
        <v>0</v>
      </c>
      <c r="F38" s="7">
        <v>0</v>
      </c>
      <c r="G38" s="7">
        <v>0</v>
      </c>
    </row>
    <row r="39" spans="1:7" ht="15.75" thickBot="1" x14ac:dyDescent="0.3">
      <c r="A39" s="6">
        <v>38</v>
      </c>
      <c r="B39" s="4">
        <v>0.5</v>
      </c>
      <c r="C39" s="3">
        <v>2</v>
      </c>
      <c r="D39" s="3">
        <v>1</v>
      </c>
      <c r="E39" s="3">
        <v>0</v>
      </c>
      <c r="F39" s="8">
        <v>0.5</v>
      </c>
      <c r="G39" s="8">
        <v>0</v>
      </c>
    </row>
    <row r="40" spans="1:7" ht="15.75" thickBot="1" x14ac:dyDescent="0.3">
      <c r="A40" s="6">
        <v>39</v>
      </c>
      <c r="B40" s="4">
        <v>0.5</v>
      </c>
      <c r="C40" s="3">
        <v>2</v>
      </c>
      <c r="D40" s="3">
        <v>0</v>
      </c>
      <c r="E40" s="3">
        <v>1</v>
      </c>
      <c r="F40" s="8">
        <v>0</v>
      </c>
      <c r="G40" s="8">
        <v>0.5</v>
      </c>
    </row>
    <row r="41" spans="1:7" ht="15.75" thickBot="1" x14ac:dyDescent="0.3">
      <c r="A41" s="6">
        <v>40</v>
      </c>
      <c r="B41" s="2">
        <v>0.5</v>
      </c>
      <c r="C41" s="2">
        <v>3</v>
      </c>
      <c r="D41" s="2">
        <v>1</v>
      </c>
      <c r="E41" s="2">
        <v>0</v>
      </c>
      <c r="F41" s="7">
        <v>0.33333333329999998</v>
      </c>
      <c r="G41" s="7">
        <v>0</v>
      </c>
    </row>
    <row r="42" spans="1:7" ht="15.75" thickBot="1" x14ac:dyDescent="0.3">
      <c r="A42" s="6">
        <v>41</v>
      </c>
      <c r="B42" s="2">
        <v>0.5</v>
      </c>
      <c r="C42" s="2">
        <v>3</v>
      </c>
      <c r="D42" s="2">
        <v>0</v>
      </c>
      <c r="E42" s="2">
        <v>1</v>
      </c>
      <c r="F42" s="7">
        <v>0</v>
      </c>
      <c r="G42" s="7">
        <v>0.33333333329999998</v>
      </c>
    </row>
    <row r="43" spans="1:7" ht="15.75" thickBot="1" x14ac:dyDescent="0.3">
      <c r="A43" s="6">
        <v>42</v>
      </c>
      <c r="B43" s="2">
        <v>0.5</v>
      </c>
      <c r="C43" s="2">
        <v>3</v>
      </c>
      <c r="D43" s="2">
        <v>1</v>
      </c>
      <c r="E43" s="2">
        <v>1</v>
      </c>
      <c r="F43" s="7">
        <v>0.33333333329999998</v>
      </c>
      <c r="G43" s="7">
        <v>0.33333333329999998</v>
      </c>
    </row>
    <row r="44" spans="1:7" ht="15.75" thickBot="1" x14ac:dyDescent="0.3">
      <c r="A44" s="6">
        <v>43</v>
      </c>
      <c r="B44" s="2">
        <v>0.5</v>
      </c>
      <c r="C44" s="2">
        <v>5</v>
      </c>
      <c r="D44" s="2">
        <v>1</v>
      </c>
      <c r="E44" s="2">
        <v>0</v>
      </c>
      <c r="F44" s="7">
        <v>0.2</v>
      </c>
      <c r="G44" s="7">
        <v>0</v>
      </c>
    </row>
    <row r="45" spans="1:7" ht="15.75" thickBot="1" x14ac:dyDescent="0.3">
      <c r="A45" s="6">
        <v>44</v>
      </c>
      <c r="B45" s="2">
        <v>0.5</v>
      </c>
      <c r="C45" s="2">
        <v>5</v>
      </c>
      <c r="D45" s="2">
        <v>0</v>
      </c>
      <c r="E45" s="2">
        <v>1</v>
      </c>
      <c r="F45" s="7">
        <v>0</v>
      </c>
      <c r="G45" s="7">
        <v>0.2</v>
      </c>
    </row>
    <row r="46" spans="1:7" ht="15.75" thickBot="1" x14ac:dyDescent="0.3">
      <c r="A46" s="6">
        <v>45</v>
      </c>
      <c r="B46" s="2">
        <v>0.5</v>
      </c>
      <c r="C46" s="2">
        <v>5</v>
      </c>
      <c r="D46" s="2">
        <v>1</v>
      </c>
      <c r="E46" s="2">
        <v>1</v>
      </c>
      <c r="F46" s="7">
        <v>0.2</v>
      </c>
      <c r="G46" s="7">
        <v>0.2</v>
      </c>
    </row>
    <row r="47" spans="1:7" ht="15.75" thickBot="1" x14ac:dyDescent="0.3">
      <c r="A47" s="6">
        <v>46</v>
      </c>
      <c r="B47" s="3">
        <v>0.5</v>
      </c>
      <c r="C47" s="3">
        <v>7</v>
      </c>
      <c r="D47" s="3">
        <v>2</v>
      </c>
      <c r="E47" s="3">
        <v>0</v>
      </c>
      <c r="F47" s="9">
        <v>0.28999999999999998</v>
      </c>
      <c r="G47" s="9">
        <v>0</v>
      </c>
    </row>
    <row r="48" spans="1:7" ht="15.75" thickBot="1" x14ac:dyDescent="0.3">
      <c r="A48" s="6">
        <v>47</v>
      </c>
      <c r="B48" s="3">
        <v>0.5</v>
      </c>
      <c r="C48" s="3">
        <v>7</v>
      </c>
      <c r="D48" s="3">
        <v>0</v>
      </c>
      <c r="E48" s="3">
        <v>2</v>
      </c>
      <c r="F48" s="9">
        <v>0</v>
      </c>
      <c r="G48" s="9">
        <v>0.28999999999999998</v>
      </c>
    </row>
    <row r="49" spans="1:7" ht="15.75" thickBot="1" x14ac:dyDescent="0.3">
      <c r="A49" s="6">
        <v>48</v>
      </c>
      <c r="B49" s="3">
        <v>0.5</v>
      </c>
      <c r="C49" s="3">
        <v>7</v>
      </c>
      <c r="D49" s="3">
        <v>1</v>
      </c>
      <c r="E49" s="3">
        <v>1</v>
      </c>
      <c r="F49" s="9">
        <v>0.14000000000000001</v>
      </c>
      <c r="G49" s="9">
        <v>0.14000000000000001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F129-26ED-4E6C-8933-B01F9C09CDD8}">
  <dimension ref="A1:G33"/>
  <sheetViews>
    <sheetView workbookViewId="0">
      <selection activeCell="B1" sqref="B1:G1"/>
    </sheetView>
  </sheetViews>
  <sheetFormatPr defaultRowHeight="15" x14ac:dyDescent="0.25"/>
  <sheetData>
    <row r="1" spans="1:7" ht="27" thickBot="1" x14ac:dyDescent="0.3">
      <c r="A1" s="10" t="s">
        <v>9</v>
      </c>
      <c r="B1" s="10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15</v>
      </c>
    </row>
    <row r="2" spans="1:7" ht="15.75" thickBot="1" x14ac:dyDescent="0.3">
      <c r="A2" s="11">
        <v>1</v>
      </c>
      <c r="B2" s="11">
        <v>1</v>
      </c>
      <c r="C2" s="11">
        <v>2</v>
      </c>
      <c r="D2" s="11">
        <v>4</v>
      </c>
      <c r="E2" s="11">
        <v>15</v>
      </c>
      <c r="F2" s="11">
        <v>16</v>
      </c>
      <c r="G2" s="11">
        <v>18</v>
      </c>
    </row>
    <row r="3" spans="1:7" ht="15.75" thickBot="1" x14ac:dyDescent="0.3">
      <c r="A3" s="11">
        <v>2</v>
      </c>
      <c r="B3" s="11">
        <v>1</v>
      </c>
      <c r="C3" s="11">
        <v>3</v>
      </c>
      <c r="D3" s="11">
        <v>5</v>
      </c>
      <c r="E3" s="11">
        <v>15</v>
      </c>
      <c r="F3" s="11">
        <v>17</v>
      </c>
      <c r="G3" s="11">
        <v>19</v>
      </c>
    </row>
    <row r="4" spans="1:7" ht="15.75" thickBot="1" x14ac:dyDescent="0.3">
      <c r="A4" s="11">
        <v>3</v>
      </c>
      <c r="B4" s="11">
        <v>1</v>
      </c>
      <c r="C4" s="11">
        <v>6</v>
      </c>
      <c r="D4" s="11">
        <v>7</v>
      </c>
      <c r="E4" s="11">
        <v>15</v>
      </c>
      <c r="F4" s="11">
        <v>20</v>
      </c>
      <c r="G4" s="11">
        <v>21</v>
      </c>
    </row>
    <row r="5" spans="1:7" ht="15.75" thickBot="1" x14ac:dyDescent="0.3">
      <c r="A5" s="11">
        <v>4</v>
      </c>
      <c r="B5" s="11">
        <v>8</v>
      </c>
      <c r="C5" s="11">
        <v>9</v>
      </c>
      <c r="D5" s="11">
        <v>11</v>
      </c>
      <c r="E5" s="11">
        <v>22</v>
      </c>
      <c r="F5" s="11">
        <v>23</v>
      </c>
      <c r="G5" s="11">
        <v>25</v>
      </c>
    </row>
    <row r="6" spans="1:7" ht="15.75" thickBot="1" x14ac:dyDescent="0.3">
      <c r="A6" s="11">
        <v>5</v>
      </c>
      <c r="B6" s="11">
        <v>8</v>
      </c>
      <c r="C6" s="11">
        <v>10</v>
      </c>
      <c r="D6" s="11">
        <v>12</v>
      </c>
      <c r="E6" s="11">
        <v>22</v>
      </c>
      <c r="F6" s="11">
        <v>24</v>
      </c>
      <c r="G6" s="11">
        <v>26</v>
      </c>
    </row>
    <row r="7" spans="1:7" ht="15.75" thickBot="1" x14ac:dyDescent="0.3">
      <c r="A7" s="11">
        <v>6</v>
      </c>
      <c r="B7" s="11">
        <v>8</v>
      </c>
      <c r="C7" s="11">
        <v>13</v>
      </c>
      <c r="D7" s="11">
        <v>14</v>
      </c>
      <c r="E7" s="11">
        <v>22</v>
      </c>
      <c r="F7" s="11">
        <v>27</v>
      </c>
      <c r="G7" s="11">
        <v>28</v>
      </c>
    </row>
    <row r="8" spans="1:7" ht="15.75" thickBot="1" x14ac:dyDescent="0.3">
      <c r="A8" s="11">
        <v>7</v>
      </c>
      <c r="B8" s="11">
        <v>15</v>
      </c>
      <c r="C8" s="11">
        <v>35</v>
      </c>
      <c r="D8" s="11">
        <v>36</v>
      </c>
      <c r="E8" s="11">
        <v>1</v>
      </c>
      <c r="F8" s="11">
        <v>29</v>
      </c>
      <c r="G8" s="11">
        <v>30</v>
      </c>
    </row>
    <row r="9" spans="1:7" ht="15.75" thickBot="1" x14ac:dyDescent="0.3">
      <c r="A9" s="11">
        <v>8</v>
      </c>
      <c r="B9" s="11">
        <v>15</v>
      </c>
      <c r="C9" s="11">
        <v>37</v>
      </c>
      <c r="D9" s="11">
        <v>35</v>
      </c>
      <c r="E9" s="11">
        <v>1</v>
      </c>
      <c r="F9" s="11">
        <v>31</v>
      </c>
      <c r="G9" s="11">
        <v>29</v>
      </c>
    </row>
    <row r="10" spans="1:7" ht="15.75" thickBot="1" x14ac:dyDescent="0.3">
      <c r="A10" s="11">
        <v>9</v>
      </c>
      <c r="B10" s="11">
        <v>15</v>
      </c>
      <c r="C10" s="11">
        <v>37</v>
      </c>
      <c r="D10" s="11">
        <v>36</v>
      </c>
      <c r="E10" s="11">
        <v>1</v>
      </c>
      <c r="F10" s="11">
        <v>31</v>
      </c>
      <c r="G10" s="11">
        <v>30</v>
      </c>
    </row>
    <row r="11" spans="1:7" ht="15.75" thickBot="1" x14ac:dyDescent="0.3">
      <c r="A11" s="11">
        <v>10</v>
      </c>
      <c r="B11" s="11">
        <v>15</v>
      </c>
      <c r="C11" s="11">
        <v>45</v>
      </c>
      <c r="D11" s="11">
        <v>46</v>
      </c>
      <c r="E11" s="11">
        <v>1</v>
      </c>
      <c r="F11" s="11">
        <v>41</v>
      </c>
      <c r="G11" s="11">
        <v>42</v>
      </c>
    </row>
    <row r="12" spans="1:7" ht="15.75" thickBot="1" x14ac:dyDescent="0.3">
      <c r="A12" s="11">
        <v>11</v>
      </c>
      <c r="B12" s="11">
        <v>15</v>
      </c>
      <c r="C12" s="11">
        <v>46</v>
      </c>
      <c r="D12" s="11">
        <v>45</v>
      </c>
      <c r="E12" s="11">
        <v>1</v>
      </c>
      <c r="F12" s="11">
        <v>42</v>
      </c>
      <c r="G12" s="11">
        <v>41</v>
      </c>
    </row>
    <row r="13" spans="1:7" ht="15.75" thickBot="1" x14ac:dyDescent="0.3">
      <c r="A13" s="11">
        <v>12</v>
      </c>
      <c r="B13" s="11">
        <v>15</v>
      </c>
      <c r="C13" s="11">
        <v>16</v>
      </c>
      <c r="D13" s="11">
        <v>18</v>
      </c>
      <c r="E13" s="11">
        <v>1</v>
      </c>
      <c r="F13" s="11">
        <v>2</v>
      </c>
      <c r="G13" s="11">
        <v>4</v>
      </c>
    </row>
    <row r="14" spans="1:7" ht="15.75" thickBot="1" x14ac:dyDescent="0.3">
      <c r="A14" s="11">
        <v>13</v>
      </c>
      <c r="B14" s="11">
        <v>15</v>
      </c>
      <c r="C14" s="11">
        <v>17</v>
      </c>
      <c r="D14" s="11">
        <v>19</v>
      </c>
      <c r="E14" s="11">
        <v>1</v>
      </c>
      <c r="F14" s="11">
        <v>3</v>
      </c>
      <c r="G14" s="11">
        <v>5</v>
      </c>
    </row>
    <row r="15" spans="1:7" ht="15.75" thickBot="1" x14ac:dyDescent="0.3">
      <c r="A15" s="11">
        <v>14</v>
      </c>
      <c r="B15" s="11">
        <v>15</v>
      </c>
      <c r="C15" s="11">
        <v>20</v>
      </c>
      <c r="D15" s="11">
        <v>21</v>
      </c>
      <c r="E15" s="11">
        <v>1</v>
      </c>
      <c r="F15" s="11">
        <v>6</v>
      </c>
      <c r="G15" s="11">
        <v>7</v>
      </c>
    </row>
    <row r="16" spans="1:7" ht="15.75" thickBot="1" x14ac:dyDescent="0.3">
      <c r="A16" s="11">
        <v>15</v>
      </c>
      <c r="B16" s="11">
        <v>22</v>
      </c>
      <c r="C16" s="11">
        <v>38</v>
      </c>
      <c r="D16" s="11">
        <v>39</v>
      </c>
      <c r="E16" s="11">
        <v>8</v>
      </c>
      <c r="F16" s="11">
        <v>32</v>
      </c>
      <c r="G16" s="11">
        <v>33</v>
      </c>
    </row>
    <row r="17" spans="1:7" ht="15.75" thickBot="1" x14ac:dyDescent="0.3">
      <c r="A17" s="11">
        <v>16</v>
      </c>
      <c r="B17" s="11">
        <v>22</v>
      </c>
      <c r="C17" s="11">
        <v>40</v>
      </c>
      <c r="D17" s="11">
        <v>38</v>
      </c>
      <c r="E17" s="11">
        <v>8</v>
      </c>
      <c r="F17" s="11">
        <v>34</v>
      </c>
      <c r="G17" s="11">
        <v>32</v>
      </c>
    </row>
    <row r="18" spans="1:7" ht="15.75" thickBot="1" x14ac:dyDescent="0.3">
      <c r="A18" s="11">
        <v>17</v>
      </c>
      <c r="B18" s="11">
        <v>22</v>
      </c>
      <c r="C18" s="11">
        <v>40</v>
      </c>
      <c r="D18" s="11">
        <v>39</v>
      </c>
      <c r="E18" s="11">
        <v>8</v>
      </c>
      <c r="F18" s="11">
        <v>34</v>
      </c>
      <c r="G18" s="11">
        <v>33</v>
      </c>
    </row>
    <row r="19" spans="1:7" ht="15.75" thickBot="1" x14ac:dyDescent="0.3">
      <c r="A19" s="11">
        <v>18</v>
      </c>
      <c r="B19" s="11">
        <v>22</v>
      </c>
      <c r="C19" s="11">
        <v>47</v>
      </c>
      <c r="D19" s="11">
        <v>48</v>
      </c>
      <c r="E19" s="11">
        <v>8</v>
      </c>
      <c r="F19" s="11">
        <v>43</v>
      </c>
      <c r="G19" s="11">
        <v>44</v>
      </c>
    </row>
    <row r="20" spans="1:7" ht="15.75" thickBot="1" x14ac:dyDescent="0.3">
      <c r="A20" s="11">
        <v>19</v>
      </c>
      <c r="B20" s="11">
        <v>22</v>
      </c>
      <c r="C20" s="11">
        <v>48</v>
      </c>
      <c r="D20" s="11">
        <v>47</v>
      </c>
      <c r="E20" s="11">
        <v>8</v>
      </c>
      <c r="F20" s="11">
        <v>44</v>
      </c>
      <c r="G20" s="11">
        <v>43</v>
      </c>
    </row>
    <row r="21" spans="1:7" ht="15.75" thickBot="1" x14ac:dyDescent="0.3">
      <c r="A21" s="11">
        <v>20</v>
      </c>
      <c r="B21" s="11">
        <v>22</v>
      </c>
      <c r="C21" s="11">
        <v>23</v>
      </c>
      <c r="D21" s="11">
        <v>25</v>
      </c>
      <c r="E21" s="11">
        <v>8</v>
      </c>
      <c r="F21" s="11">
        <v>9</v>
      </c>
      <c r="G21" s="11">
        <v>11</v>
      </c>
    </row>
    <row r="22" spans="1:7" ht="15.75" thickBot="1" x14ac:dyDescent="0.3">
      <c r="A22" s="11">
        <v>21</v>
      </c>
      <c r="B22" s="11">
        <v>22</v>
      </c>
      <c r="C22" s="11">
        <v>24</v>
      </c>
      <c r="D22" s="11">
        <v>26</v>
      </c>
      <c r="E22" s="11">
        <v>8</v>
      </c>
      <c r="F22" s="11">
        <v>10</v>
      </c>
      <c r="G22" s="11">
        <v>12</v>
      </c>
    </row>
    <row r="23" spans="1:7" ht="15.75" thickBot="1" x14ac:dyDescent="0.3">
      <c r="A23" s="11">
        <v>22</v>
      </c>
      <c r="B23" s="11">
        <v>22</v>
      </c>
      <c r="C23" s="11">
        <v>27</v>
      </c>
      <c r="D23" s="11">
        <v>28</v>
      </c>
      <c r="E23" s="11">
        <v>8</v>
      </c>
      <c r="F23" s="11">
        <v>13</v>
      </c>
      <c r="G23" s="11">
        <v>14</v>
      </c>
    </row>
    <row r="24" spans="1:7" ht="15.75" thickBot="1" x14ac:dyDescent="0.3">
      <c r="A24" s="12">
        <v>23</v>
      </c>
      <c r="B24" s="11">
        <v>1</v>
      </c>
      <c r="C24" s="11">
        <v>29</v>
      </c>
      <c r="D24" s="11">
        <v>30</v>
      </c>
      <c r="E24" s="11">
        <v>15</v>
      </c>
      <c r="F24" s="11">
        <v>35</v>
      </c>
      <c r="G24" s="11">
        <v>36</v>
      </c>
    </row>
    <row r="25" spans="1:7" ht="15.75" thickBot="1" x14ac:dyDescent="0.3">
      <c r="A25" s="12">
        <v>24</v>
      </c>
      <c r="B25" s="11">
        <v>1</v>
      </c>
      <c r="C25" s="11">
        <v>31</v>
      </c>
      <c r="D25" s="11">
        <v>29</v>
      </c>
      <c r="E25" s="11">
        <v>15</v>
      </c>
      <c r="F25" s="11">
        <v>37</v>
      </c>
      <c r="G25" s="11">
        <v>35</v>
      </c>
    </row>
    <row r="26" spans="1:7" ht="15.75" thickBot="1" x14ac:dyDescent="0.3">
      <c r="A26" s="12">
        <v>25</v>
      </c>
      <c r="B26" s="11">
        <v>1</v>
      </c>
      <c r="C26" s="11">
        <v>31</v>
      </c>
      <c r="D26" s="11">
        <v>30</v>
      </c>
      <c r="E26" s="11">
        <v>15</v>
      </c>
      <c r="F26" s="11">
        <v>37</v>
      </c>
      <c r="G26" s="11">
        <v>36</v>
      </c>
    </row>
    <row r="27" spans="1:7" ht="15.75" thickBot="1" x14ac:dyDescent="0.3">
      <c r="A27" s="12">
        <v>26</v>
      </c>
      <c r="B27" s="11">
        <v>1</v>
      </c>
      <c r="C27" s="11">
        <v>41</v>
      </c>
      <c r="D27" s="11">
        <v>42</v>
      </c>
      <c r="E27" s="11">
        <v>15</v>
      </c>
      <c r="F27" s="11">
        <v>45</v>
      </c>
      <c r="G27" s="11">
        <v>46</v>
      </c>
    </row>
    <row r="28" spans="1:7" ht="15.75" thickBot="1" x14ac:dyDescent="0.3">
      <c r="A28" s="12">
        <v>27</v>
      </c>
      <c r="B28" s="11">
        <v>1</v>
      </c>
      <c r="C28" s="11">
        <v>42</v>
      </c>
      <c r="D28" s="11">
        <v>41</v>
      </c>
      <c r="E28" s="11">
        <v>15</v>
      </c>
      <c r="F28" s="11">
        <v>46</v>
      </c>
      <c r="G28" s="11">
        <v>45</v>
      </c>
    </row>
    <row r="29" spans="1:7" ht="15.75" thickBot="1" x14ac:dyDescent="0.3">
      <c r="A29" s="12">
        <v>28</v>
      </c>
      <c r="B29" s="11">
        <v>8</v>
      </c>
      <c r="C29" s="11">
        <v>32</v>
      </c>
      <c r="D29" s="11">
        <v>33</v>
      </c>
      <c r="E29" s="11">
        <v>22</v>
      </c>
      <c r="F29" s="11">
        <v>38</v>
      </c>
      <c r="G29" s="11">
        <v>39</v>
      </c>
    </row>
    <row r="30" spans="1:7" ht="15.75" thickBot="1" x14ac:dyDescent="0.3">
      <c r="A30" s="12">
        <v>29</v>
      </c>
      <c r="B30" s="11">
        <v>8</v>
      </c>
      <c r="C30" s="11">
        <v>34</v>
      </c>
      <c r="D30" s="11">
        <v>32</v>
      </c>
      <c r="E30" s="11">
        <v>22</v>
      </c>
      <c r="F30" s="11">
        <v>40</v>
      </c>
      <c r="G30" s="11">
        <v>38</v>
      </c>
    </row>
    <row r="31" spans="1:7" ht="15.75" thickBot="1" x14ac:dyDescent="0.3">
      <c r="A31" s="12">
        <v>30</v>
      </c>
      <c r="B31" s="11">
        <v>8</v>
      </c>
      <c r="C31" s="11">
        <v>34</v>
      </c>
      <c r="D31" s="11">
        <v>33</v>
      </c>
      <c r="E31" s="11">
        <v>22</v>
      </c>
      <c r="F31" s="11">
        <v>40</v>
      </c>
      <c r="G31" s="11">
        <v>39</v>
      </c>
    </row>
    <row r="32" spans="1:7" ht="15.75" thickBot="1" x14ac:dyDescent="0.3">
      <c r="A32" s="12">
        <v>31</v>
      </c>
      <c r="B32" s="11">
        <v>8</v>
      </c>
      <c r="C32" s="11">
        <v>43</v>
      </c>
      <c r="D32" s="11">
        <v>44</v>
      </c>
      <c r="E32" s="11">
        <v>22</v>
      </c>
      <c r="F32" s="11">
        <v>47</v>
      </c>
      <c r="G32" s="11">
        <v>48</v>
      </c>
    </row>
    <row r="33" spans="1:7" ht="15.75" thickBot="1" x14ac:dyDescent="0.3">
      <c r="A33" s="12">
        <v>32</v>
      </c>
      <c r="B33" s="11">
        <v>8</v>
      </c>
      <c r="C33" s="11">
        <v>44</v>
      </c>
      <c r="D33" s="11">
        <v>43</v>
      </c>
      <c r="E33" s="11">
        <v>22</v>
      </c>
      <c r="F33" s="11">
        <v>48</v>
      </c>
      <c r="G33" s="1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F8E9-3755-40E1-926A-CCB3FCE072B5}">
  <dimension ref="A1:G33"/>
  <sheetViews>
    <sheetView tabSelected="1" workbookViewId="0">
      <selection activeCell="D23" sqref="D23"/>
    </sheetView>
  </sheetViews>
  <sheetFormatPr defaultRowHeight="15" x14ac:dyDescent="0.25"/>
  <cols>
    <col min="1" max="1" width="3.5703125" bestFit="1" customWidth="1"/>
  </cols>
  <sheetData>
    <row r="1" spans="1:7" ht="15.75" thickBot="1" x14ac:dyDescent="0.3">
      <c r="A1" s="13" t="s">
        <v>4</v>
      </c>
      <c r="B1" s="14" t="s">
        <v>10</v>
      </c>
      <c r="C1" s="14" t="s">
        <v>11</v>
      </c>
      <c r="D1" s="14" t="s">
        <v>12</v>
      </c>
      <c r="E1" s="14" t="s">
        <v>13</v>
      </c>
      <c r="F1" s="14" t="s">
        <v>14</v>
      </c>
      <c r="G1" s="14" t="s">
        <v>15</v>
      </c>
    </row>
    <row r="2" spans="1:7" x14ac:dyDescent="0.25">
      <c r="A2">
        <v>1</v>
      </c>
      <c r="B2">
        <f>LOOKUP('Old Sequence'!B27,'Old and new numbering'!$A$2:$A$49,'Old and new numbering'!$H$2:$H$49)</f>
        <v>1</v>
      </c>
      <c r="C2">
        <f>LOOKUP('Old Sequence'!C27,'Old and new numbering'!$A$2:$A$49,'Old and new numbering'!$H$2:$H$49)</f>
        <v>2</v>
      </c>
      <c r="D2">
        <f>LOOKUP('Old Sequence'!D27,'Old and new numbering'!$A$2:$A$49,'Old and new numbering'!$H$2:$H$49)</f>
        <v>3</v>
      </c>
      <c r="E2">
        <f>LOOKUP('Old Sequence'!E27,'Old and new numbering'!$A$2:$A$49,'Old and new numbering'!$H$2:$H$49)</f>
        <v>25</v>
      </c>
      <c r="F2">
        <f>LOOKUP('Old Sequence'!F27,'Old and new numbering'!$A$2:$A$49,'Old and new numbering'!$H$2:$H$49)</f>
        <v>26</v>
      </c>
      <c r="G2">
        <f>LOOKUP('Old Sequence'!G27,'Old and new numbering'!$A$2:$A$49,'Old and new numbering'!$H$2:$H$49)</f>
        <v>27</v>
      </c>
    </row>
    <row r="3" spans="1:7" x14ac:dyDescent="0.25">
      <c r="A3">
        <v>2</v>
      </c>
      <c r="B3">
        <f>LOOKUP('Old Sequence'!B28,'Old and new numbering'!$A$2:$A$49,'Old and new numbering'!$H$2:$H$49)</f>
        <v>1</v>
      </c>
      <c r="C3">
        <f>LOOKUP('Old Sequence'!C28,'Old and new numbering'!$A$2:$A$49,'Old and new numbering'!$H$2:$H$49)</f>
        <v>3</v>
      </c>
      <c r="D3">
        <f>LOOKUP('Old Sequence'!D28,'Old and new numbering'!$A$2:$A$49,'Old and new numbering'!$H$2:$H$49)</f>
        <v>2</v>
      </c>
      <c r="E3">
        <f>LOOKUP('Old Sequence'!E28,'Old and new numbering'!$A$2:$A$49,'Old and new numbering'!$H$2:$H$49)</f>
        <v>25</v>
      </c>
      <c r="F3">
        <f>LOOKUP('Old Sequence'!F28,'Old and new numbering'!$A$2:$A$49,'Old and new numbering'!$H$2:$H$49)</f>
        <v>27</v>
      </c>
      <c r="G3">
        <f>LOOKUP('Old Sequence'!G28,'Old and new numbering'!$A$2:$A$49,'Old and new numbering'!$H$2:$H$49)</f>
        <v>26</v>
      </c>
    </row>
    <row r="4" spans="1:7" x14ac:dyDescent="0.25">
      <c r="A4">
        <v>3</v>
      </c>
      <c r="B4">
        <f>LOOKUP('Old Sequence'!B2,'Old and new numbering'!$A$2:$A$49,'Old and new numbering'!$H$2:$H$49)</f>
        <v>1</v>
      </c>
      <c r="C4">
        <f>LOOKUP('Old Sequence'!C2,'Old and new numbering'!$A$2:$A$49,'Old and new numbering'!$H$2:$H$49)</f>
        <v>4</v>
      </c>
      <c r="D4">
        <f>LOOKUP('Old Sequence'!D2,'Old and new numbering'!$A$2:$A$49,'Old and new numbering'!$H$2:$H$49)</f>
        <v>6</v>
      </c>
      <c r="E4">
        <f>LOOKUP('Old Sequence'!E2,'Old and new numbering'!$A$2:$A$49,'Old and new numbering'!$H$2:$H$49)</f>
        <v>25</v>
      </c>
      <c r="F4">
        <f>LOOKUP('Old Sequence'!F2,'Old and new numbering'!$A$2:$A$49,'Old and new numbering'!$H$2:$H$49)</f>
        <v>28</v>
      </c>
      <c r="G4">
        <f>LOOKUP('Old Sequence'!G2,'Old and new numbering'!$A$2:$A$49,'Old and new numbering'!$H$2:$H$49)</f>
        <v>30</v>
      </c>
    </row>
    <row r="5" spans="1:7" x14ac:dyDescent="0.25">
      <c r="A5">
        <v>4</v>
      </c>
      <c r="B5">
        <f>LOOKUP('Old Sequence'!B3,'Old and new numbering'!$A$2:$A$49,'Old and new numbering'!$H$2:$H$49)</f>
        <v>1</v>
      </c>
      <c r="C5">
        <f>LOOKUP('Old Sequence'!C3,'Old and new numbering'!$A$2:$A$49,'Old and new numbering'!$H$2:$H$49)</f>
        <v>5</v>
      </c>
      <c r="D5">
        <f>LOOKUP('Old Sequence'!D3,'Old and new numbering'!$A$2:$A$49,'Old and new numbering'!$H$2:$H$49)</f>
        <v>7</v>
      </c>
      <c r="E5">
        <f>LOOKUP('Old Sequence'!E3,'Old and new numbering'!$A$2:$A$49,'Old and new numbering'!$H$2:$H$49)</f>
        <v>25</v>
      </c>
      <c r="F5">
        <f>LOOKUP('Old Sequence'!F3,'Old and new numbering'!$A$2:$A$49,'Old and new numbering'!$H$2:$H$49)</f>
        <v>29</v>
      </c>
      <c r="G5">
        <f>LOOKUP('Old Sequence'!G3,'Old and new numbering'!$A$2:$A$49,'Old and new numbering'!$H$2:$H$49)</f>
        <v>31</v>
      </c>
    </row>
    <row r="6" spans="1:7" x14ac:dyDescent="0.25">
      <c r="A6">
        <v>5</v>
      </c>
      <c r="B6">
        <f>LOOKUP('Old Sequence'!B4,'Old and new numbering'!$A$2:$A$49,'Old and new numbering'!$H$2:$H$49)</f>
        <v>1</v>
      </c>
      <c r="C6">
        <f>LOOKUP('Old Sequence'!C4,'Old and new numbering'!$A$2:$A$49,'Old and new numbering'!$H$2:$H$49)</f>
        <v>8</v>
      </c>
      <c r="D6">
        <f>LOOKUP('Old Sequence'!D4,'Old and new numbering'!$A$2:$A$49,'Old and new numbering'!$H$2:$H$49)</f>
        <v>9</v>
      </c>
      <c r="E6">
        <f>LOOKUP('Old Sequence'!E4,'Old and new numbering'!$A$2:$A$49,'Old and new numbering'!$H$2:$H$49)</f>
        <v>25</v>
      </c>
      <c r="F6">
        <f>LOOKUP('Old Sequence'!F4,'Old and new numbering'!$A$2:$A$49,'Old and new numbering'!$H$2:$H$49)</f>
        <v>32</v>
      </c>
      <c r="G6">
        <f>LOOKUP('Old Sequence'!G4,'Old and new numbering'!$A$2:$A$49,'Old and new numbering'!$H$2:$H$49)</f>
        <v>33</v>
      </c>
    </row>
    <row r="7" spans="1:7" x14ac:dyDescent="0.25">
      <c r="A7">
        <v>6</v>
      </c>
      <c r="B7">
        <f>LOOKUP('Old Sequence'!B24,'Old and new numbering'!$A$2:$A$49,'Old and new numbering'!$H$2:$H$49)</f>
        <v>1</v>
      </c>
      <c r="C7">
        <f>LOOKUP('Old Sequence'!C24,'Old and new numbering'!$A$2:$A$49,'Old and new numbering'!$H$2:$H$49)</f>
        <v>10</v>
      </c>
      <c r="D7">
        <f>LOOKUP('Old Sequence'!D24,'Old and new numbering'!$A$2:$A$49,'Old and new numbering'!$H$2:$H$49)</f>
        <v>11</v>
      </c>
      <c r="E7">
        <f>LOOKUP('Old Sequence'!E24,'Old and new numbering'!$A$2:$A$49,'Old and new numbering'!$H$2:$H$49)</f>
        <v>25</v>
      </c>
      <c r="F7">
        <f>LOOKUP('Old Sequence'!F24,'Old and new numbering'!$A$2:$A$49,'Old and new numbering'!$H$2:$H$49)</f>
        <v>34</v>
      </c>
      <c r="G7">
        <f>LOOKUP('Old Sequence'!G24,'Old and new numbering'!$A$2:$A$49,'Old and new numbering'!$H$2:$H$49)</f>
        <v>35</v>
      </c>
    </row>
    <row r="8" spans="1:7" x14ac:dyDescent="0.25">
      <c r="A8">
        <v>7</v>
      </c>
      <c r="B8">
        <f>LOOKUP('Old Sequence'!B25,'Old and new numbering'!$A$2:$A$49,'Old and new numbering'!$H$2:$H$49)</f>
        <v>1</v>
      </c>
      <c r="C8">
        <f>LOOKUP('Old Sequence'!C25,'Old and new numbering'!$A$2:$A$49,'Old and new numbering'!$H$2:$H$49)</f>
        <v>12</v>
      </c>
      <c r="D8">
        <f>LOOKUP('Old Sequence'!D25,'Old and new numbering'!$A$2:$A$49,'Old and new numbering'!$H$2:$H$49)</f>
        <v>10</v>
      </c>
      <c r="E8">
        <f>LOOKUP('Old Sequence'!E25,'Old and new numbering'!$A$2:$A$49,'Old and new numbering'!$H$2:$H$49)</f>
        <v>25</v>
      </c>
      <c r="F8">
        <f>LOOKUP('Old Sequence'!F25,'Old and new numbering'!$A$2:$A$49,'Old and new numbering'!$H$2:$H$49)</f>
        <v>36</v>
      </c>
      <c r="G8">
        <f>LOOKUP('Old Sequence'!G25,'Old and new numbering'!$A$2:$A$49,'Old and new numbering'!$H$2:$H$49)</f>
        <v>34</v>
      </c>
    </row>
    <row r="9" spans="1:7" x14ac:dyDescent="0.25">
      <c r="A9">
        <v>8</v>
      </c>
      <c r="B9">
        <f>LOOKUP('Old Sequence'!B26,'Old and new numbering'!$A$2:$A$49,'Old and new numbering'!$H$2:$H$49)</f>
        <v>1</v>
      </c>
      <c r="C9">
        <f>LOOKUP('Old Sequence'!C26,'Old and new numbering'!$A$2:$A$49,'Old and new numbering'!$H$2:$H$49)</f>
        <v>12</v>
      </c>
      <c r="D9">
        <f>LOOKUP('Old Sequence'!D26,'Old and new numbering'!$A$2:$A$49,'Old and new numbering'!$H$2:$H$49)</f>
        <v>11</v>
      </c>
      <c r="E9">
        <f>LOOKUP('Old Sequence'!E26,'Old and new numbering'!$A$2:$A$49,'Old and new numbering'!$H$2:$H$49)</f>
        <v>25</v>
      </c>
      <c r="F9">
        <f>LOOKUP('Old Sequence'!F26,'Old and new numbering'!$A$2:$A$49,'Old and new numbering'!$H$2:$H$49)</f>
        <v>36</v>
      </c>
      <c r="G9">
        <f>LOOKUP('Old Sequence'!G26,'Old and new numbering'!$A$2:$A$49,'Old and new numbering'!$H$2:$H$49)</f>
        <v>35</v>
      </c>
    </row>
    <row r="10" spans="1:7" x14ac:dyDescent="0.25">
      <c r="A10">
        <v>9</v>
      </c>
      <c r="B10">
        <f>LOOKUP('Old Sequence'!B11,'Old and new numbering'!$A$2:$A$49,'Old and new numbering'!$H$2:$H$49)</f>
        <v>25</v>
      </c>
      <c r="C10">
        <f>LOOKUP('Old Sequence'!C11,'Old and new numbering'!$A$2:$A$49,'Old and new numbering'!$H$2:$H$49)</f>
        <v>26</v>
      </c>
      <c r="D10">
        <f>LOOKUP('Old Sequence'!D11,'Old and new numbering'!$A$2:$A$49,'Old and new numbering'!$H$2:$H$49)</f>
        <v>27</v>
      </c>
      <c r="E10">
        <f>LOOKUP('Old Sequence'!E11,'Old and new numbering'!$A$2:$A$49,'Old and new numbering'!$H$2:$H$49)</f>
        <v>1</v>
      </c>
      <c r="F10">
        <f>LOOKUP('Old Sequence'!F11,'Old and new numbering'!$A$2:$A$49,'Old and new numbering'!$H$2:$H$49)</f>
        <v>2</v>
      </c>
      <c r="G10">
        <f>LOOKUP('Old Sequence'!G11,'Old and new numbering'!$A$2:$A$49,'Old and new numbering'!$H$2:$H$49)</f>
        <v>3</v>
      </c>
    </row>
    <row r="11" spans="1:7" x14ac:dyDescent="0.25">
      <c r="A11">
        <v>10</v>
      </c>
      <c r="B11">
        <f>LOOKUP('Old Sequence'!B12,'Old and new numbering'!$A$2:$A$49,'Old and new numbering'!$H$2:$H$49)</f>
        <v>25</v>
      </c>
      <c r="C11">
        <f>LOOKUP('Old Sequence'!C12,'Old and new numbering'!$A$2:$A$49,'Old and new numbering'!$H$2:$H$49)</f>
        <v>27</v>
      </c>
      <c r="D11">
        <f>LOOKUP('Old Sequence'!D12,'Old and new numbering'!$A$2:$A$49,'Old and new numbering'!$H$2:$H$49)</f>
        <v>26</v>
      </c>
      <c r="E11">
        <f>LOOKUP('Old Sequence'!E12,'Old and new numbering'!$A$2:$A$49,'Old and new numbering'!$H$2:$H$49)</f>
        <v>1</v>
      </c>
      <c r="F11">
        <f>LOOKUP('Old Sequence'!F12,'Old and new numbering'!$A$2:$A$49,'Old and new numbering'!$H$2:$H$49)</f>
        <v>3</v>
      </c>
      <c r="G11">
        <f>LOOKUP('Old Sequence'!G12,'Old and new numbering'!$A$2:$A$49,'Old and new numbering'!$H$2:$H$49)</f>
        <v>2</v>
      </c>
    </row>
    <row r="12" spans="1:7" x14ac:dyDescent="0.25">
      <c r="A12">
        <v>11</v>
      </c>
      <c r="B12">
        <f>LOOKUP('Old Sequence'!B13,'Old and new numbering'!$A$2:$A$49,'Old and new numbering'!$H$2:$H$49)</f>
        <v>25</v>
      </c>
      <c r="C12">
        <f>LOOKUP('Old Sequence'!C13,'Old and new numbering'!$A$2:$A$49,'Old and new numbering'!$H$2:$H$49)</f>
        <v>28</v>
      </c>
      <c r="D12">
        <f>LOOKUP('Old Sequence'!D13,'Old and new numbering'!$A$2:$A$49,'Old and new numbering'!$H$2:$H$49)</f>
        <v>30</v>
      </c>
      <c r="E12">
        <f>LOOKUP('Old Sequence'!E13,'Old and new numbering'!$A$2:$A$49,'Old and new numbering'!$H$2:$H$49)</f>
        <v>1</v>
      </c>
      <c r="F12">
        <f>LOOKUP('Old Sequence'!F13,'Old and new numbering'!$A$2:$A$49,'Old and new numbering'!$H$2:$H$49)</f>
        <v>4</v>
      </c>
      <c r="G12">
        <f>LOOKUP('Old Sequence'!G13,'Old and new numbering'!$A$2:$A$49,'Old and new numbering'!$H$2:$H$49)</f>
        <v>6</v>
      </c>
    </row>
    <row r="13" spans="1:7" x14ac:dyDescent="0.25">
      <c r="A13">
        <v>12</v>
      </c>
      <c r="B13">
        <f>LOOKUP('Old Sequence'!B14,'Old and new numbering'!$A$2:$A$49,'Old and new numbering'!$H$2:$H$49)</f>
        <v>25</v>
      </c>
      <c r="C13">
        <f>LOOKUP('Old Sequence'!C14,'Old and new numbering'!$A$2:$A$49,'Old and new numbering'!$H$2:$H$49)</f>
        <v>29</v>
      </c>
      <c r="D13">
        <f>LOOKUP('Old Sequence'!D14,'Old and new numbering'!$A$2:$A$49,'Old and new numbering'!$H$2:$H$49)</f>
        <v>31</v>
      </c>
      <c r="E13">
        <f>LOOKUP('Old Sequence'!E14,'Old and new numbering'!$A$2:$A$49,'Old and new numbering'!$H$2:$H$49)</f>
        <v>1</v>
      </c>
      <c r="F13">
        <f>LOOKUP('Old Sequence'!F14,'Old and new numbering'!$A$2:$A$49,'Old and new numbering'!$H$2:$H$49)</f>
        <v>5</v>
      </c>
      <c r="G13">
        <f>LOOKUP('Old Sequence'!G14,'Old and new numbering'!$A$2:$A$49,'Old and new numbering'!$H$2:$H$49)</f>
        <v>7</v>
      </c>
    </row>
    <row r="14" spans="1:7" x14ac:dyDescent="0.25">
      <c r="A14">
        <v>13</v>
      </c>
      <c r="B14">
        <f>LOOKUP('Old Sequence'!B15,'Old and new numbering'!$A$2:$A$49,'Old and new numbering'!$H$2:$H$49)</f>
        <v>25</v>
      </c>
      <c r="C14">
        <f>LOOKUP('Old Sequence'!C15,'Old and new numbering'!$A$2:$A$49,'Old and new numbering'!$H$2:$H$49)</f>
        <v>32</v>
      </c>
      <c r="D14">
        <f>LOOKUP('Old Sequence'!D15,'Old and new numbering'!$A$2:$A$49,'Old and new numbering'!$H$2:$H$49)</f>
        <v>33</v>
      </c>
      <c r="E14">
        <f>LOOKUP('Old Sequence'!E15,'Old and new numbering'!$A$2:$A$49,'Old and new numbering'!$H$2:$H$49)</f>
        <v>1</v>
      </c>
      <c r="F14">
        <f>LOOKUP('Old Sequence'!F15,'Old and new numbering'!$A$2:$A$49,'Old and new numbering'!$H$2:$H$49)</f>
        <v>8</v>
      </c>
      <c r="G14">
        <f>LOOKUP('Old Sequence'!G15,'Old and new numbering'!$A$2:$A$49,'Old and new numbering'!$H$2:$H$49)</f>
        <v>9</v>
      </c>
    </row>
    <row r="15" spans="1:7" x14ac:dyDescent="0.25">
      <c r="A15">
        <v>14</v>
      </c>
      <c r="B15">
        <f>LOOKUP('Old Sequence'!B8,'Old and new numbering'!$A$2:$A$49,'Old and new numbering'!$H$2:$H$49)</f>
        <v>25</v>
      </c>
      <c r="C15">
        <f>LOOKUP('Old Sequence'!C8,'Old and new numbering'!$A$2:$A$49,'Old and new numbering'!$H$2:$H$49)</f>
        <v>34</v>
      </c>
      <c r="D15">
        <f>LOOKUP('Old Sequence'!D8,'Old and new numbering'!$A$2:$A$49,'Old and new numbering'!$H$2:$H$49)</f>
        <v>35</v>
      </c>
      <c r="E15">
        <f>LOOKUP('Old Sequence'!E8,'Old and new numbering'!$A$2:$A$49,'Old and new numbering'!$H$2:$H$49)</f>
        <v>1</v>
      </c>
      <c r="F15">
        <f>LOOKUP('Old Sequence'!F8,'Old and new numbering'!$A$2:$A$49,'Old and new numbering'!$H$2:$H$49)</f>
        <v>10</v>
      </c>
      <c r="G15">
        <f>LOOKUP('Old Sequence'!G8,'Old and new numbering'!$A$2:$A$49,'Old and new numbering'!$H$2:$H$49)</f>
        <v>11</v>
      </c>
    </row>
    <row r="16" spans="1:7" x14ac:dyDescent="0.25">
      <c r="A16">
        <v>15</v>
      </c>
      <c r="B16">
        <f>LOOKUP('Old Sequence'!B9,'Old and new numbering'!$A$2:$A$49,'Old and new numbering'!$H$2:$H$49)</f>
        <v>25</v>
      </c>
      <c r="C16">
        <f>LOOKUP('Old Sequence'!C9,'Old and new numbering'!$A$2:$A$49,'Old and new numbering'!$H$2:$H$49)</f>
        <v>36</v>
      </c>
      <c r="D16">
        <f>LOOKUP('Old Sequence'!D9,'Old and new numbering'!$A$2:$A$49,'Old and new numbering'!$H$2:$H$49)</f>
        <v>34</v>
      </c>
      <c r="E16">
        <f>LOOKUP('Old Sequence'!E9,'Old and new numbering'!$A$2:$A$49,'Old and new numbering'!$H$2:$H$49)</f>
        <v>1</v>
      </c>
      <c r="F16">
        <f>LOOKUP('Old Sequence'!F9,'Old and new numbering'!$A$2:$A$49,'Old and new numbering'!$H$2:$H$49)</f>
        <v>12</v>
      </c>
      <c r="G16">
        <f>LOOKUP('Old Sequence'!G9,'Old and new numbering'!$A$2:$A$49,'Old and new numbering'!$H$2:$H$49)</f>
        <v>10</v>
      </c>
    </row>
    <row r="17" spans="1:7" x14ac:dyDescent="0.25">
      <c r="A17">
        <v>16</v>
      </c>
      <c r="B17">
        <f>LOOKUP('Old Sequence'!B10,'Old and new numbering'!$A$2:$A$49,'Old and new numbering'!$H$2:$H$49)</f>
        <v>25</v>
      </c>
      <c r="C17">
        <f>LOOKUP('Old Sequence'!C10,'Old and new numbering'!$A$2:$A$49,'Old and new numbering'!$H$2:$H$49)</f>
        <v>36</v>
      </c>
      <c r="D17">
        <f>LOOKUP('Old Sequence'!D10,'Old and new numbering'!$A$2:$A$49,'Old and new numbering'!$H$2:$H$49)</f>
        <v>35</v>
      </c>
      <c r="E17">
        <f>LOOKUP('Old Sequence'!E10,'Old and new numbering'!$A$2:$A$49,'Old and new numbering'!$H$2:$H$49)</f>
        <v>1</v>
      </c>
      <c r="F17">
        <f>LOOKUP('Old Sequence'!F10,'Old and new numbering'!$A$2:$A$49,'Old and new numbering'!$H$2:$H$49)</f>
        <v>12</v>
      </c>
      <c r="G17">
        <f>LOOKUP('Old Sequence'!G10,'Old and new numbering'!$A$2:$A$49,'Old and new numbering'!$H$2:$H$49)</f>
        <v>11</v>
      </c>
    </row>
    <row r="18" spans="1:7" x14ac:dyDescent="0.25">
      <c r="A18">
        <v>17</v>
      </c>
      <c r="B18">
        <f>LOOKUP('Old Sequence'!B32,'Old and new numbering'!$A$2:$A$49,'Old and new numbering'!$H$2:$H$49)</f>
        <v>13</v>
      </c>
      <c r="C18">
        <f>LOOKUP('Old Sequence'!C32,'Old and new numbering'!$A$2:$A$49,'Old and new numbering'!$H$2:$H$49)</f>
        <v>14</v>
      </c>
      <c r="D18">
        <f>LOOKUP('Old Sequence'!D32,'Old and new numbering'!$A$2:$A$49,'Old and new numbering'!$H$2:$H$49)</f>
        <v>15</v>
      </c>
      <c r="E18">
        <f>LOOKUP('Old Sequence'!E32,'Old and new numbering'!$A$2:$A$49,'Old and new numbering'!$H$2:$H$49)</f>
        <v>37</v>
      </c>
      <c r="F18">
        <f>LOOKUP('Old Sequence'!F32,'Old and new numbering'!$A$2:$A$49,'Old and new numbering'!$H$2:$H$49)</f>
        <v>38</v>
      </c>
      <c r="G18">
        <f>LOOKUP('Old Sequence'!G32,'Old and new numbering'!$A$2:$A$49,'Old and new numbering'!$H$2:$H$49)</f>
        <v>39</v>
      </c>
    </row>
    <row r="19" spans="1:7" x14ac:dyDescent="0.25">
      <c r="A19">
        <v>18</v>
      </c>
      <c r="B19">
        <f>LOOKUP('Old Sequence'!B33,'Old and new numbering'!$A$2:$A$49,'Old and new numbering'!$H$2:$H$49)</f>
        <v>13</v>
      </c>
      <c r="C19">
        <f>LOOKUP('Old Sequence'!C33,'Old and new numbering'!$A$2:$A$49,'Old and new numbering'!$H$2:$H$49)</f>
        <v>15</v>
      </c>
      <c r="D19">
        <f>LOOKUP('Old Sequence'!D33,'Old and new numbering'!$A$2:$A$49,'Old and new numbering'!$H$2:$H$49)</f>
        <v>14</v>
      </c>
      <c r="E19">
        <f>LOOKUP('Old Sequence'!E33,'Old and new numbering'!$A$2:$A$49,'Old and new numbering'!$H$2:$H$49)</f>
        <v>37</v>
      </c>
      <c r="F19">
        <f>LOOKUP('Old Sequence'!F33,'Old and new numbering'!$A$2:$A$49,'Old and new numbering'!$H$2:$H$49)</f>
        <v>39</v>
      </c>
      <c r="G19">
        <f>LOOKUP('Old Sequence'!G33,'Old and new numbering'!$A$2:$A$49,'Old and new numbering'!$H$2:$H$49)</f>
        <v>38</v>
      </c>
    </row>
    <row r="20" spans="1:7" x14ac:dyDescent="0.25">
      <c r="A20">
        <v>19</v>
      </c>
      <c r="B20">
        <f>LOOKUP('Old Sequence'!B5,'Old and new numbering'!$A$2:$A$49,'Old and new numbering'!$H$2:$H$49)</f>
        <v>13</v>
      </c>
      <c r="C20">
        <f>LOOKUP('Old Sequence'!C5,'Old and new numbering'!$A$2:$A$49,'Old and new numbering'!$H$2:$H$49)</f>
        <v>16</v>
      </c>
      <c r="D20">
        <f>LOOKUP('Old Sequence'!D5,'Old and new numbering'!$A$2:$A$49,'Old and new numbering'!$H$2:$H$49)</f>
        <v>18</v>
      </c>
      <c r="E20">
        <f>LOOKUP('Old Sequence'!E5,'Old and new numbering'!$A$2:$A$49,'Old and new numbering'!$H$2:$H$49)</f>
        <v>37</v>
      </c>
      <c r="F20">
        <f>LOOKUP('Old Sequence'!F5,'Old and new numbering'!$A$2:$A$49,'Old and new numbering'!$H$2:$H$49)</f>
        <v>40</v>
      </c>
      <c r="G20">
        <f>LOOKUP('Old Sequence'!G5,'Old and new numbering'!$A$2:$A$49,'Old and new numbering'!$H$2:$H$49)</f>
        <v>42</v>
      </c>
    </row>
    <row r="21" spans="1:7" x14ac:dyDescent="0.25">
      <c r="A21">
        <v>20</v>
      </c>
      <c r="B21">
        <f>LOOKUP('Old Sequence'!B6,'Old and new numbering'!$A$2:$A$49,'Old and new numbering'!$H$2:$H$49)</f>
        <v>13</v>
      </c>
      <c r="C21">
        <f>LOOKUP('Old Sequence'!C6,'Old and new numbering'!$A$2:$A$49,'Old and new numbering'!$H$2:$H$49)</f>
        <v>17</v>
      </c>
      <c r="D21">
        <f>LOOKUP('Old Sequence'!D6,'Old and new numbering'!$A$2:$A$49,'Old and new numbering'!$H$2:$H$49)</f>
        <v>19</v>
      </c>
      <c r="E21">
        <f>LOOKUP('Old Sequence'!E6,'Old and new numbering'!$A$2:$A$49,'Old and new numbering'!$H$2:$H$49)</f>
        <v>37</v>
      </c>
      <c r="F21">
        <f>LOOKUP('Old Sequence'!F6,'Old and new numbering'!$A$2:$A$49,'Old and new numbering'!$H$2:$H$49)</f>
        <v>41</v>
      </c>
      <c r="G21">
        <f>LOOKUP('Old Sequence'!G6,'Old and new numbering'!$A$2:$A$49,'Old and new numbering'!$H$2:$H$49)</f>
        <v>43</v>
      </c>
    </row>
    <row r="22" spans="1:7" x14ac:dyDescent="0.25">
      <c r="A22">
        <v>21</v>
      </c>
      <c r="B22">
        <f>LOOKUP('Old Sequence'!B7,'Old and new numbering'!$A$2:$A$49,'Old and new numbering'!$H$2:$H$49)</f>
        <v>13</v>
      </c>
      <c r="C22">
        <f>LOOKUP('Old Sequence'!C7,'Old and new numbering'!$A$2:$A$49,'Old and new numbering'!$H$2:$H$49)</f>
        <v>20</v>
      </c>
      <c r="D22">
        <f>LOOKUP('Old Sequence'!D7,'Old and new numbering'!$A$2:$A$49,'Old and new numbering'!$H$2:$H$49)</f>
        <v>21</v>
      </c>
      <c r="E22">
        <f>LOOKUP('Old Sequence'!E7,'Old and new numbering'!$A$2:$A$49,'Old and new numbering'!$H$2:$H$49)</f>
        <v>37</v>
      </c>
      <c r="F22">
        <f>LOOKUP('Old Sequence'!F7,'Old and new numbering'!$A$2:$A$49,'Old and new numbering'!$H$2:$H$49)</f>
        <v>44</v>
      </c>
      <c r="G22">
        <f>LOOKUP('Old Sequence'!G7,'Old and new numbering'!$A$2:$A$49,'Old and new numbering'!$H$2:$H$49)</f>
        <v>45</v>
      </c>
    </row>
    <row r="23" spans="1:7" x14ac:dyDescent="0.25">
      <c r="A23">
        <v>22</v>
      </c>
      <c r="B23">
        <f>LOOKUP('Old Sequence'!B29,'Old and new numbering'!$A$2:$A$49,'Old and new numbering'!$H$2:$H$49)</f>
        <v>13</v>
      </c>
      <c r="C23">
        <f>LOOKUP('Old Sequence'!C29,'Old and new numbering'!$A$2:$A$49,'Old and new numbering'!$H$2:$H$49)</f>
        <v>22</v>
      </c>
      <c r="D23">
        <f>LOOKUP('Old Sequence'!D29,'Old and new numbering'!$A$2:$A$49,'Old and new numbering'!$H$2:$H$49)</f>
        <v>23</v>
      </c>
      <c r="E23">
        <f>LOOKUP('Old Sequence'!E29,'Old and new numbering'!$A$2:$A$49,'Old and new numbering'!$H$2:$H$49)</f>
        <v>37</v>
      </c>
      <c r="F23">
        <f>LOOKUP('Old Sequence'!F29,'Old and new numbering'!$A$2:$A$49,'Old and new numbering'!$H$2:$H$49)</f>
        <v>46</v>
      </c>
      <c r="G23">
        <f>LOOKUP('Old Sequence'!G29,'Old and new numbering'!$A$2:$A$49,'Old and new numbering'!$H$2:$H$49)</f>
        <v>47</v>
      </c>
    </row>
    <row r="24" spans="1:7" x14ac:dyDescent="0.25">
      <c r="A24">
        <v>23</v>
      </c>
      <c r="B24">
        <f>LOOKUP('Old Sequence'!B30,'Old and new numbering'!$A$2:$A$49,'Old and new numbering'!$H$2:$H$49)</f>
        <v>13</v>
      </c>
      <c r="C24">
        <f>LOOKUP('Old Sequence'!C30,'Old and new numbering'!$A$2:$A$49,'Old and new numbering'!$H$2:$H$49)</f>
        <v>24</v>
      </c>
      <c r="D24">
        <f>LOOKUP('Old Sequence'!D30,'Old and new numbering'!$A$2:$A$49,'Old and new numbering'!$H$2:$H$49)</f>
        <v>22</v>
      </c>
      <c r="E24">
        <f>LOOKUP('Old Sequence'!E30,'Old and new numbering'!$A$2:$A$49,'Old and new numbering'!$H$2:$H$49)</f>
        <v>37</v>
      </c>
      <c r="F24">
        <f>LOOKUP('Old Sequence'!F30,'Old and new numbering'!$A$2:$A$49,'Old and new numbering'!$H$2:$H$49)</f>
        <v>48</v>
      </c>
      <c r="G24">
        <f>LOOKUP('Old Sequence'!G30,'Old and new numbering'!$A$2:$A$49,'Old and new numbering'!$H$2:$H$49)</f>
        <v>46</v>
      </c>
    </row>
    <row r="25" spans="1:7" x14ac:dyDescent="0.25">
      <c r="A25">
        <v>24</v>
      </c>
      <c r="B25">
        <f>LOOKUP('Old Sequence'!B31,'Old and new numbering'!$A$2:$A$49,'Old and new numbering'!$H$2:$H$49)</f>
        <v>13</v>
      </c>
      <c r="C25">
        <f>LOOKUP('Old Sequence'!C31,'Old and new numbering'!$A$2:$A$49,'Old and new numbering'!$H$2:$H$49)</f>
        <v>24</v>
      </c>
      <c r="D25">
        <f>LOOKUP('Old Sequence'!D31,'Old and new numbering'!$A$2:$A$49,'Old and new numbering'!$H$2:$H$49)</f>
        <v>23</v>
      </c>
      <c r="E25">
        <f>LOOKUP('Old Sequence'!E31,'Old and new numbering'!$A$2:$A$49,'Old and new numbering'!$H$2:$H$49)</f>
        <v>37</v>
      </c>
      <c r="F25">
        <f>LOOKUP('Old Sequence'!F31,'Old and new numbering'!$A$2:$A$49,'Old and new numbering'!$H$2:$H$49)</f>
        <v>48</v>
      </c>
      <c r="G25">
        <f>LOOKUP('Old Sequence'!G31,'Old and new numbering'!$A$2:$A$49,'Old and new numbering'!$H$2:$H$49)</f>
        <v>47</v>
      </c>
    </row>
    <row r="26" spans="1:7" x14ac:dyDescent="0.25">
      <c r="A26">
        <v>25</v>
      </c>
      <c r="B26">
        <f>LOOKUP('Old Sequence'!B19,'Old and new numbering'!$A$2:$A$49,'Old and new numbering'!$H$2:$H$49)</f>
        <v>37</v>
      </c>
      <c r="C26">
        <f>LOOKUP('Old Sequence'!C19,'Old and new numbering'!$A$2:$A$49,'Old and new numbering'!$H$2:$H$49)</f>
        <v>38</v>
      </c>
      <c r="D26">
        <f>LOOKUP('Old Sequence'!D19,'Old and new numbering'!$A$2:$A$49,'Old and new numbering'!$H$2:$H$49)</f>
        <v>39</v>
      </c>
      <c r="E26">
        <f>LOOKUP('Old Sequence'!E19,'Old and new numbering'!$A$2:$A$49,'Old and new numbering'!$H$2:$H$49)</f>
        <v>13</v>
      </c>
      <c r="F26">
        <f>LOOKUP('Old Sequence'!F19,'Old and new numbering'!$A$2:$A$49,'Old and new numbering'!$H$2:$H$49)</f>
        <v>14</v>
      </c>
      <c r="G26">
        <f>LOOKUP('Old Sequence'!G19,'Old and new numbering'!$A$2:$A$49,'Old and new numbering'!$H$2:$H$49)</f>
        <v>15</v>
      </c>
    </row>
    <row r="27" spans="1:7" x14ac:dyDescent="0.25">
      <c r="A27">
        <v>26</v>
      </c>
      <c r="B27">
        <f>LOOKUP('Old Sequence'!B20,'Old and new numbering'!$A$2:$A$49,'Old and new numbering'!$H$2:$H$49)</f>
        <v>37</v>
      </c>
      <c r="C27">
        <f>LOOKUP('Old Sequence'!C20,'Old and new numbering'!$A$2:$A$49,'Old and new numbering'!$H$2:$H$49)</f>
        <v>39</v>
      </c>
      <c r="D27">
        <f>LOOKUP('Old Sequence'!D20,'Old and new numbering'!$A$2:$A$49,'Old and new numbering'!$H$2:$H$49)</f>
        <v>38</v>
      </c>
      <c r="E27">
        <f>LOOKUP('Old Sequence'!E20,'Old and new numbering'!$A$2:$A$49,'Old and new numbering'!$H$2:$H$49)</f>
        <v>13</v>
      </c>
      <c r="F27">
        <f>LOOKUP('Old Sequence'!F20,'Old and new numbering'!$A$2:$A$49,'Old and new numbering'!$H$2:$H$49)</f>
        <v>15</v>
      </c>
      <c r="G27">
        <f>LOOKUP('Old Sequence'!G20,'Old and new numbering'!$A$2:$A$49,'Old and new numbering'!$H$2:$H$49)</f>
        <v>14</v>
      </c>
    </row>
    <row r="28" spans="1:7" x14ac:dyDescent="0.25">
      <c r="A28">
        <v>27</v>
      </c>
      <c r="B28">
        <f>LOOKUP('Old Sequence'!B21,'Old and new numbering'!$A$2:$A$49,'Old and new numbering'!$H$2:$H$49)</f>
        <v>37</v>
      </c>
      <c r="C28">
        <f>LOOKUP('Old Sequence'!C21,'Old and new numbering'!$A$2:$A$49,'Old and new numbering'!$H$2:$H$49)</f>
        <v>40</v>
      </c>
      <c r="D28">
        <f>LOOKUP('Old Sequence'!D21,'Old and new numbering'!$A$2:$A$49,'Old and new numbering'!$H$2:$H$49)</f>
        <v>42</v>
      </c>
      <c r="E28">
        <f>LOOKUP('Old Sequence'!E21,'Old and new numbering'!$A$2:$A$49,'Old and new numbering'!$H$2:$H$49)</f>
        <v>13</v>
      </c>
      <c r="F28">
        <f>LOOKUP('Old Sequence'!F21,'Old and new numbering'!$A$2:$A$49,'Old and new numbering'!$H$2:$H$49)</f>
        <v>16</v>
      </c>
      <c r="G28">
        <f>LOOKUP('Old Sequence'!G21,'Old and new numbering'!$A$2:$A$49,'Old and new numbering'!$H$2:$H$49)</f>
        <v>18</v>
      </c>
    </row>
    <row r="29" spans="1:7" x14ac:dyDescent="0.25">
      <c r="A29">
        <v>28</v>
      </c>
      <c r="B29">
        <f>LOOKUP('Old Sequence'!B22,'Old and new numbering'!$A$2:$A$49,'Old and new numbering'!$H$2:$H$49)</f>
        <v>37</v>
      </c>
      <c r="C29">
        <f>LOOKUP('Old Sequence'!C22,'Old and new numbering'!$A$2:$A$49,'Old and new numbering'!$H$2:$H$49)</f>
        <v>41</v>
      </c>
      <c r="D29">
        <f>LOOKUP('Old Sequence'!D22,'Old and new numbering'!$A$2:$A$49,'Old and new numbering'!$H$2:$H$49)</f>
        <v>43</v>
      </c>
      <c r="E29">
        <f>LOOKUP('Old Sequence'!E22,'Old and new numbering'!$A$2:$A$49,'Old and new numbering'!$H$2:$H$49)</f>
        <v>13</v>
      </c>
      <c r="F29">
        <f>LOOKUP('Old Sequence'!F22,'Old and new numbering'!$A$2:$A$49,'Old and new numbering'!$H$2:$H$49)</f>
        <v>17</v>
      </c>
      <c r="G29">
        <f>LOOKUP('Old Sequence'!G22,'Old and new numbering'!$A$2:$A$49,'Old and new numbering'!$H$2:$H$49)</f>
        <v>19</v>
      </c>
    </row>
    <row r="30" spans="1:7" x14ac:dyDescent="0.25">
      <c r="A30">
        <v>29</v>
      </c>
      <c r="B30">
        <f>LOOKUP('Old Sequence'!B23,'Old and new numbering'!$A$2:$A$49,'Old and new numbering'!$H$2:$H$49)</f>
        <v>37</v>
      </c>
      <c r="C30">
        <f>LOOKUP('Old Sequence'!C23,'Old and new numbering'!$A$2:$A$49,'Old and new numbering'!$H$2:$H$49)</f>
        <v>44</v>
      </c>
      <c r="D30">
        <f>LOOKUP('Old Sequence'!D23,'Old and new numbering'!$A$2:$A$49,'Old and new numbering'!$H$2:$H$49)</f>
        <v>45</v>
      </c>
      <c r="E30">
        <f>LOOKUP('Old Sequence'!E23,'Old and new numbering'!$A$2:$A$49,'Old and new numbering'!$H$2:$H$49)</f>
        <v>13</v>
      </c>
      <c r="F30">
        <f>LOOKUP('Old Sequence'!F23,'Old and new numbering'!$A$2:$A$49,'Old and new numbering'!$H$2:$H$49)</f>
        <v>20</v>
      </c>
      <c r="G30">
        <f>LOOKUP('Old Sequence'!G23,'Old and new numbering'!$A$2:$A$49,'Old and new numbering'!$H$2:$H$49)</f>
        <v>21</v>
      </c>
    </row>
    <row r="31" spans="1:7" x14ac:dyDescent="0.25">
      <c r="A31">
        <v>30</v>
      </c>
      <c r="B31">
        <f>LOOKUP('Old Sequence'!B16,'Old and new numbering'!$A$2:$A$49,'Old and new numbering'!$H$2:$H$49)</f>
        <v>37</v>
      </c>
      <c r="C31">
        <f>LOOKUP('Old Sequence'!C16,'Old and new numbering'!$A$2:$A$49,'Old and new numbering'!$H$2:$H$49)</f>
        <v>46</v>
      </c>
      <c r="D31">
        <f>LOOKUP('Old Sequence'!D16,'Old and new numbering'!$A$2:$A$49,'Old and new numbering'!$H$2:$H$49)</f>
        <v>47</v>
      </c>
      <c r="E31">
        <f>LOOKUP('Old Sequence'!E16,'Old and new numbering'!$A$2:$A$49,'Old and new numbering'!$H$2:$H$49)</f>
        <v>13</v>
      </c>
      <c r="F31">
        <f>LOOKUP('Old Sequence'!F16,'Old and new numbering'!$A$2:$A$49,'Old and new numbering'!$H$2:$H$49)</f>
        <v>22</v>
      </c>
      <c r="G31">
        <f>LOOKUP('Old Sequence'!G16,'Old and new numbering'!$A$2:$A$49,'Old and new numbering'!$H$2:$H$49)</f>
        <v>23</v>
      </c>
    </row>
    <row r="32" spans="1:7" x14ac:dyDescent="0.25">
      <c r="A32">
        <v>31</v>
      </c>
      <c r="B32">
        <f>LOOKUP('Old Sequence'!B17,'Old and new numbering'!$A$2:$A$49,'Old and new numbering'!$H$2:$H$49)</f>
        <v>37</v>
      </c>
      <c r="C32">
        <f>LOOKUP('Old Sequence'!C17,'Old and new numbering'!$A$2:$A$49,'Old and new numbering'!$H$2:$H$49)</f>
        <v>48</v>
      </c>
      <c r="D32">
        <f>LOOKUP('Old Sequence'!D17,'Old and new numbering'!$A$2:$A$49,'Old and new numbering'!$H$2:$H$49)</f>
        <v>46</v>
      </c>
      <c r="E32">
        <f>LOOKUP('Old Sequence'!E17,'Old and new numbering'!$A$2:$A$49,'Old and new numbering'!$H$2:$H$49)</f>
        <v>13</v>
      </c>
      <c r="F32">
        <f>LOOKUP('Old Sequence'!F17,'Old and new numbering'!$A$2:$A$49,'Old and new numbering'!$H$2:$H$49)</f>
        <v>24</v>
      </c>
      <c r="G32">
        <f>LOOKUP('Old Sequence'!G17,'Old and new numbering'!$A$2:$A$49,'Old and new numbering'!$H$2:$H$49)</f>
        <v>22</v>
      </c>
    </row>
    <row r="33" spans="1:7" x14ac:dyDescent="0.25">
      <c r="A33">
        <v>32</v>
      </c>
      <c r="B33">
        <f>LOOKUP('Old Sequence'!B18,'Old and new numbering'!$A$2:$A$49,'Old and new numbering'!$H$2:$H$49)</f>
        <v>37</v>
      </c>
      <c r="C33">
        <f>LOOKUP('Old Sequence'!C18,'Old and new numbering'!$A$2:$A$49,'Old and new numbering'!$H$2:$H$49)</f>
        <v>48</v>
      </c>
      <c r="D33">
        <f>LOOKUP('Old Sequence'!D18,'Old and new numbering'!$A$2:$A$49,'Old and new numbering'!$H$2:$H$49)</f>
        <v>47</v>
      </c>
      <c r="E33">
        <f>LOOKUP('Old Sequence'!E18,'Old and new numbering'!$A$2:$A$49,'Old and new numbering'!$H$2:$H$49)</f>
        <v>13</v>
      </c>
      <c r="F33">
        <f>LOOKUP('Old Sequence'!F18,'Old and new numbering'!$A$2:$A$49,'Old and new numbering'!$H$2:$H$49)</f>
        <v>24</v>
      </c>
      <c r="G33">
        <f>LOOKUP('Old Sequence'!G18,'Old and new numbering'!$A$2:$A$49,'Old and new numbering'!$H$2:$H$49)</f>
        <v>23</v>
      </c>
    </row>
  </sheetData>
  <sortState xmlns:xlrd2="http://schemas.microsoft.com/office/spreadsheetml/2017/richdata2" ref="A2:G33">
    <sortCondition ref="B2:B33"/>
    <sortCondition ref="C2:C33"/>
    <sortCondition ref="D2:D33"/>
    <sortCondition ref="E2:E33"/>
    <sortCondition ref="F2:F33"/>
    <sortCondition ref="G2:G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 and new numbering</vt:lpstr>
      <vt:lpstr>New numbering</vt:lpstr>
      <vt:lpstr>Old Sequence</vt:lpstr>
      <vt:lpstr>Sequence with New Numbering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Gaduh</dc:creator>
  <cp:lastModifiedBy>Arya Gaduh</cp:lastModifiedBy>
  <dcterms:created xsi:type="dcterms:W3CDTF">2026-07-16T16:54:07Z</dcterms:created>
  <dcterms:modified xsi:type="dcterms:W3CDTF">2026-07-16T17:36:43Z</dcterms:modified>
</cp:coreProperties>
</file>